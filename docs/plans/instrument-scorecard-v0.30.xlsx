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26b6e4f03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ess" sheetId="1" r:id="Rd3e097ebe7144b69"/>
    <x:sheet xmlns:r="http://schemas.openxmlformats.org/officeDocument/2006/relationships" name="Sound cases" sheetId="2" r:id="R1d51bf4f28ab4126"/>
    <x:sheet xmlns:r="http://schemas.openxmlformats.org/officeDocument/2006/relationships" name="Release" sheetId="3" r:id="Rc5635f489dcd41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&quot;x&quot;"/>
    <x:numFmt numFmtId="201" formatCode="0%"/>
  </x:numFmts>
  <x:fonts count="7">
    <x:font>
      <x:sz val="11"/>
      <x:name val="Carlito"/>
    </x:font>
    <x:font>
      <x:sz val="11"/>
      <x:color rgb="FF243447"/>
      <x:name val="Arial"/>
    </x:font>
    <x:font>
      <x:b/>
      <x:sz val="16"/>
      <x:color rgb="FF263B57"/>
      <x:name val="Arial"/>
    </x:font>
    <x:font>
      <x:b/>
      <x:sz val="11"/>
      <x:color rgb="FFFFFFFF"/>
      <x:name val="Arial"/>
    </x:font>
    <x:font>
      <x:i/>
      <x:sz val="11"/>
      <x:color rgb="FF566477"/>
      <x:name val="Arial"/>
    </x:font>
    <x:font>
      <x:b/>
      <x:sz val="13"/>
      <x:color rgb="FF263B57"/>
      <x:name val="Arial"/>
    </x:font>
    <x:font>
      <x:sz val="11"/>
      <x:color rgb="FF56647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7"/>
      </x:patternFill>
    </x:fill>
    <x:fill>
      <x:patternFill patternType="solid">
        <x:fgColor rgb="FFFFF3D4"/>
      </x:patternFill>
    </x:fill>
  </x:fills>
  <x:borders count="2">
    <x:border/>
    <x:border>
      <x:bottom style="thin">
        <x:color rgb="FFA7B2C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A52A1F"/>
      </x:font>
      <x:fill>
        <x:patternFill patternType="solid">
          <x:bgColor rgb="FFFCE3DF"/>
        </x:patternFill>
      </x:fill>
    </x:dxf>
    <x:dxf>
      <x:font>
        <x:color rgb="FF8A5A12"/>
      </x:font>
      <x:fill>
        <x:patternFill patternType="solid">
          <x:bgColor rgb="FFFFF3D4"/>
        </x:patternFill>
      </x:fill>
    </x:dxf>
    <x:dxf>
      <x:font>
        <x:b/>
        <x:color rgb="FFA52A1F"/>
      </x:font>
      <x:fill>
        <x:patternFill patternType="solid">
          <x:bgColor rgb="FFFC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8e8fccd6d4b55" /><Relationship Type="http://schemas.openxmlformats.org/officeDocument/2006/relationships/theme" Target="/xl/theme/theme1.xml" Id="R75a748be2384419b" /><Relationship Type="http://schemas.openxmlformats.org/officeDocument/2006/relationships/sharedStrings" Target="/xl/sharedStrings.xml" Id="Rc32d5f0736c243fc" /><Relationship Type="http://schemas.openxmlformats.org/officeDocument/2006/relationships/worksheet" Target="/xl/worksheets/sheet1.xml" Id="Rd3e097ebe7144b69" /><Relationship Type="http://schemas.openxmlformats.org/officeDocument/2006/relationships/worksheet" Target="/xl/worksheets/sheet2.xml" Id="R1d51bf4f28ab4126" /><Relationship Type="http://schemas.openxmlformats.org/officeDocument/2006/relationships/worksheet" Target="/xl/worksheets/sheet3.xml" Id="Rc5635f489dcd4139" /></Relationships>
</file>

<file path=xl/tables/table1.xml><?xml version="1.0" encoding="utf-8"?>
<x:table xmlns:x="http://schemas.openxmlformats.org/spreadsheetml/2006/main" id="1" name="SoundCases" displayName="SoundCases" ref="A4:N104" headerRowCount="1" totalsRowCount="0" totalsRowShown="0">
  <x:tableColumns count="14">
    <x:tableColumn id="1" name="Case ID"/>
    <x:tableColumn id="2" name="Family"/>
    <x:tableColumn id="3" name="Sound or scene"/>
    <x:tableColumn id="4" name="Batch"/>
    <x:tableColumn id="5" name="Split"/>
    <x:tableColumn id="6" name="Reference target"/>
    <x:tableColumn id="7" name="Required measurements"/>
    <x:tableColumn id="8" name="Groups required"/>
    <x:tableColumn id="9" name="Groups valid"/>
    <x:tableColumn id="10" name="Worst error / tolerance"/>
    <x:tableColumn id="11" name="Evidence state"/>
    <x:tableColumn id="12" name="Verdict"/>
    <x:tableColumn id="13" name="Result link"/>
    <x:tableColumn id="14" name="Stimulus and mapp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easeRequirements" displayName="ReleaseRequirements" ref="A4:H16" headerRowCount="1" totalsRowCount="0" totalsRowShown="0">
  <x:tableColumns count="8">
    <x:tableColumn id="1" name="ID"/>
    <x:tableColumn id="2" name="Requirement"/>
    <x:tableColumn id="3" name="Evidence required"/>
    <x:tableColumn id="4" name="Owner role"/>
    <x:tableColumn id="5" name="Result"/>
    <x:tableColumn id="6" name="Evidence link"/>
    <x:tableColumn id="7" name="Current observation"/>
    <x:tableColumn id="8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84d4e74d4a4a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0204842bf94a8e" /></Relationships>
</file>

<file path=xl/worksheets/sheet1.xml><?xml version="1.0" encoding="utf-8"?>
<x:worksheet xmlns:x="http://schemas.openxmlformats.org/spreadsheetml/2006/main">
  <x:sheetPr>
    <x:tabColor rgb="FF263B57"/>
  </x:sheetPr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2" hidden="0" customWidth="1"/>
    <x:col min="8" max="8" width="2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Instrument release scorecard v0.30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/>
      <x:c r="B3" s="4"/>
      <x:c r="C3" s="4"/>
      <x:c r="D3" s="4"/>
      <x:c r="E3" s="4"/>
      <x:c r="F3" s="4"/>
      <x:c r="G3" s="4"/>
      <x:c r="H3" s="4"/>
    </x:row>
    <x:row r="4" ht="23" customHeight="1">
      <x:c r="A4" s="2" t="str">
        <x:v>Candidate / run</x:v>
      </x:c>
      <x:c r="B4" s="10" t="str">
        <x:v>Not imported</x:v>
      </x:c>
      <x:c r="C4" s="10"/>
      <x:c r="D4" s="10"/>
      <x:c r="E4" s="10"/>
      <x:c r="F4" s="10"/>
      <x:c r="G4" s="10"/>
      <x:c r="H4" s="10"/>
    </x:row>
    <x:row r="5" ht="23" customHeight="1">
      <x:c r="A5" s="15" t="str">
        <x:v>This is a new benchmark: zero imported results does not mean zero engineering progress.</x:v>
      </x:c>
      <x:c r="B5" s="2"/>
      <x:c r="C5" s="2"/>
      <x:c r="D5" s="2"/>
      <x:c r="E5" s="2"/>
      <x:c r="F5" s="2"/>
      <x:c r="G5" s="2"/>
      <x:c r="H5" s="2"/>
    </x:row>
    <x:row r="6" ht="23" customHeight="1">
      <x:c r="A6" s="2"/>
      <x:c r="B6" s="2"/>
      <x:c r="C6" s="2"/>
      <x:c r="D6" s="2"/>
      <x:c r="E6" s="2"/>
      <x:c r="F6" s="2"/>
      <x:c r="G6" s="2"/>
      <x:c r="H6" s="2"/>
    </x:row>
    <x:row r="7" ht="32" customHeight="1">
      <x:c r="A7" s="8" t="str">
        <x:v>Measure</x:v>
      </x:c>
      <x:c r="B7" s="8" t="str">
        <x:v>Current</x:v>
      </x:c>
      <x:c r="C7" s="2"/>
      <x:c r="D7" s="8" t="str">
        <x:v>Batch</x:v>
      </x:c>
      <x:c r="E7" s="8" t="str">
        <x:v>Planned</x:v>
      </x:c>
      <x:c r="F7" s="8" t="str">
        <x:v>Scored</x:v>
      </x:c>
      <x:c r="G7" s="8" t="str">
        <x:v>Within tolerance</x:v>
      </x:c>
      <x:c r="H7" s="8" t="str">
        <x:v>Coverage</x:v>
      </x:c>
    </x:row>
    <x:row r="8" ht="23" customHeight="1">
      <x:c r="A8" s="2" t="str">
        <x:v>Sound cases scored</x:v>
      </x:c>
      <x:c r="B8" s="2" t="n">
        <x:f>COUNTIFS('Sound cases'!$L$5:$L$104,"PASS")+COUNTIFS('Sound cases'!$L$5:$L$104,"FAIL")</x:f>
        <x:v>0</x:v>
      </x:c>
      <x:c r="C8" s="2"/>
      <x:c r="D8" s="2" t="str">
        <x:v>First 32</x:v>
      </x:c>
      <x:c r="E8" s="2" t="n">
        <x:f>COUNTIFS('Sound cases'!$D$5:$D$104,D8)</x:f>
        <x:v>32</x:v>
      </x:c>
      <x:c r="F8" s="2" t="n">
        <x:f>COUNTIFS('Sound cases'!$D$5:$D$104,D8,'Sound cases'!$L$5:$L$104,"PASS")+COUNTIFS('Sound cases'!$D$5:$D$104,D8,'Sound cases'!$L$5:$L$104,"FAIL")</x:f>
        <x:v>0</x:v>
      </x:c>
      <x:c r="G8" s="2" t="n">
        <x:f>COUNTIFS('Sound cases'!$D$5:$D$104,D8,'Sound cases'!$L$5:$L$104,"PASS")</x:f>
        <x:v>0</x:v>
      </x:c>
      <x:c r="H8" s="16" t="n">
        <x:f>F8/E8</x:f>
        <x:v>0</x:v>
      </x:c>
    </x:row>
    <x:row r="9" ht="23" customHeight="1">
      <x:c r="A9" s="2" t="str">
        <x:v>Cases within tolerance</x:v>
      </x:c>
      <x:c r="B9" s="2" t="n">
        <x:f>COUNTIFS('Sound cases'!$L$5:$L$104,"PASS")</x:f>
        <x:v>0</x:v>
      </x:c>
      <x:c r="C9" s="2"/>
      <x:c r="D9" s="2" t="str">
        <x:v>Expansion 48</x:v>
      </x:c>
      <x:c r="E9" s="2" t="n">
        <x:f>COUNTIFS('Sound cases'!$D$5:$D$104,D9)</x:f>
        <x:v>48</x:v>
      </x:c>
      <x:c r="F9" s="2" t="n">
        <x:f>COUNTIFS('Sound cases'!$D$5:$D$104,D9,'Sound cases'!$L$5:$L$104,"PASS")+COUNTIFS('Sound cases'!$D$5:$D$104,D9,'Sound cases'!$L$5:$L$104,"FAIL")</x:f>
        <x:v>0</x:v>
      </x:c>
      <x:c r="G9" s="2" t="n">
        <x:f>COUNTIFS('Sound cases'!$D$5:$D$104,D9,'Sound cases'!$L$5:$L$104,"PASS")</x:f>
        <x:v>0</x:v>
      </x:c>
      <x:c r="H9" s="16" t="n">
        <x:f>F9/E9</x:f>
        <x:v>0</x:v>
      </x:c>
    </x:row>
    <x:row r="10" ht="23" customHeight="1">
      <x:c r="A10" s="2" t="str">
        <x:v>Sound cases still unscored</x:v>
      </x:c>
      <x:c r="B10" s="2" t="n">
        <x:f>COUNTA('Sound cases'!$A$5:$A$104)-B8</x:f>
        <x:v>100</x:v>
      </x:c>
      <x:c r="C10" s="2"/>
      <x:c r="D10" s="2" t="str">
        <x:v>Holdout 20</x:v>
      </x:c>
      <x:c r="E10" s="2" t="n">
        <x:f>COUNTIFS('Sound cases'!$D$5:$D$104,D10)</x:f>
        <x:v>20</x:v>
      </x:c>
      <x:c r="F10" s="2" t="n">
        <x:f>COUNTIFS('Sound cases'!$D$5:$D$104,D10,'Sound cases'!$L$5:$L$104,"PASS")+COUNTIFS('Sound cases'!$D$5:$D$104,D10,'Sound cases'!$L$5:$L$104,"FAIL")</x:f>
        <x:v>0</x:v>
      </x:c>
      <x:c r="G10" s="2" t="n">
        <x:f>COUNTIFS('Sound cases'!$D$5:$D$104,D10,'Sound cases'!$L$5:$L$104,"PASS")</x:f>
        <x:v>0</x:v>
      </x:c>
      <x:c r="H10" s="16" t="n">
        <x:f>F10/E10</x:f>
        <x:v>0</x:v>
      </x:c>
    </x:row>
    <x:row r="11" ht="23" customHeight="1">
      <x:c r="A11" s="2" t="str">
        <x:v>Release requirements evidenced</x:v>
      </x:c>
      <x:c r="B11" s="2" t="n">
        <x:f>COUNTIFS('Release'!$E$5:$E$16,"PASS",'Release'!$F$5:$F$16,"&lt;&gt;")</x:f>
        <x:v>0</x:v>
      </x:c>
      <x:c r="C11" s="2"/>
      <x:c r="D11" s="2" t="str">
        <x:v>Total</x:v>
      </x:c>
      <x:c r="E11" s="2" t="n">
        <x:f>SUM(E8:E10)</x:f>
        <x:v>100</x:v>
      </x:c>
      <x:c r="F11" s="2" t="n">
        <x:f>SUM(F8:F10)</x:f>
        <x:v>0</x:v>
      </x:c>
      <x:c r="G11" s="2" t="n">
        <x:f>SUM(G8:G10)</x:f>
        <x:v>0</x:v>
      </x:c>
      <x:c r="H11" s="16" t="n">
        <x:f>F11/E11</x:f>
        <x:v>0</x:v>
      </x:c>
    </x:row>
    <x:row r="12" ht="23" customHeight="1">
      <x:c r="A12" s="2" t="str">
        <x:v>Player release</x:v>
      </x:c>
      <x:c r="B12" s="2" t="str">
        <x:f>IF(B11=COUNTA('Release'!$A$5:$A$16),"READY","PENDING")</x:f>
        <x:v>PENDING</x:v>
      </x:c>
      <x:c r="C12" s="2"/>
      <x:c r="D12" s="2"/>
      <x:c r="E12" s="2"/>
      <x:c r="F12" s="2"/>
      <x:c r="G12" s="2"/>
      <x:c r="H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</x:row>
    <x:row r="15" ht="32" customHeight="1">
      <x:c r="A15" s="8" t="str">
        <x:v>Family</x:v>
      </x:c>
      <x:c r="B15" s="8" t="str">
        <x:v>Planned</x:v>
      </x:c>
      <x:c r="C15" s="8" t="str">
        <x:v>Scored</x:v>
      </x:c>
      <x:c r="D15" s="8" t="str">
        <x:v>Pass</x:v>
      </x:c>
      <x:c r="E15" s="8" t="str">
        <x:v>Fail</x:v>
      </x:c>
      <x:c r="F15" s="8" t="str">
        <x:v>Unscored</x:v>
      </x:c>
      <x:c r="G15" s="8" t="str">
        <x:v>Agreement</x:v>
      </x:c>
      <x:c r="H15" s="8" t="str">
        <x:v>Coverage</x:v>
      </x:c>
    </x:row>
    <x:row r="16" ht="23" customHeight="1">
      <x:c r="A16" s="2" t="str">
        <x:v>Drums</x:v>
      </x:c>
      <x:c r="B16" s="2" t="n">
        <x:f>COUNTIFS('Sound cases'!$B$5:$B$104,A16)</x:f>
        <x:v>32</x:v>
      </x:c>
      <x:c r="C16" s="2" t="n">
        <x:f>D16+E16</x:f>
        <x:v>0</x:v>
      </x:c>
      <x:c r="D16" s="2" t="n">
        <x:f>COUNTIFS('Sound cases'!$B$5:$B$104,A16,'Sound cases'!$L$5:$L$104,"PASS")</x:f>
        <x:v>0</x:v>
      </x:c>
      <x:c r="E16" s="2" t="n">
        <x:f>COUNTIFS('Sound cases'!$B$5:$B$104,A16,'Sound cases'!$L$5:$L$104,"FAIL")</x:f>
        <x:v>0</x:v>
      </x:c>
      <x:c r="F16" s="2" t="n">
        <x:f>B16-C16</x:f>
        <x:v>32</x:v>
      </x:c>
      <x:c r="G16" s="17" t="str">
        <x:f>IF(C16=0,"UNSCORED",D16/C16)</x:f>
        <x:v>UNSCORED</x:v>
      </x:c>
      <x:c r="H16" s="16" t="n">
        <x:f>C16/B16</x:f>
        <x:v>0</x:v>
      </x:c>
    </x:row>
    <x:row r="17" ht="23" customHeight="1">
      <x:c r="A17" s="2" t="str">
        <x:v>Mono</x:v>
      </x:c>
      <x:c r="B17" s="2" t="n">
        <x:f>COUNTIFS('Sound cases'!$B$5:$B$104,A17)</x:f>
        <x:v>32</x:v>
      </x:c>
      <x:c r="C17" s="2" t="n">
        <x:f>D17+E17</x:f>
        <x:v>0</x:v>
      </x:c>
      <x:c r="D17" s="2" t="n">
        <x:f>COUNTIFS('Sound cases'!$B$5:$B$104,A17,'Sound cases'!$L$5:$L$104,"PASS")</x:f>
        <x:v>0</x:v>
      </x:c>
      <x:c r="E17" s="2" t="n">
        <x:f>COUNTIFS('Sound cases'!$B$5:$B$104,A17,'Sound cases'!$L$5:$L$104,"FAIL")</x:f>
        <x:v>0</x:v>
      </x:c>
      <x:c r="F17" s="2" t="n">
        <x:f>B17-C17</x:f>
        <x:v>32</x:v>
      </x:c>
      <x:c r="G17" s="17" t="str">
        <x:f>IF(C17=0,"UNSCORED",D17/C17)</x:f>
        <x:v>UNSCORED</x:v>
      </x:c>
      <x:c r="H17" s="16" t="n">
        <x:f>C17/B17</x:f>
        <x:v>0</x:v>
      </x:c>
    </x:row>
    <x:row r="18" ht="23" customHeight="1">
      <x:c r="A18" s="2" t="str">
        <x:v>Filters</x:v>
      </x:c>
      <x:c r="B18" s="2" t="n">
        <x:f>COUNTIFS('Sound cases'!$B$5:$B$104,A18)</x:f>
        <x:v>24</x:v>
      </x:c>
      <x:c r="C18" s="2" t="n">
        <x:f>D18+E18</x:f>
        <x:v>0</x:v>
      </x:c>
      <x:c r="D18" s="2" t="n">
        <x:f>COUNTIFS('Sound cases'!$B$5:$B$104,A18,'Sound cases'!$L$5:$L$104,"PASS")</x:f>
        <x:v>0</x:v>
      </x:c>
      <x:c r="E18" s="2" t="n">
        <x:f>COUNTIFS('Sound cases'!$B$5:$B$104,A18,'Sound cases'!$L$5:$L$104,"FAIL")</x:f>
        <x:v>0</x:v>
      </x:c>
      <x:c r="F18" s="2" t="n">
        <x:f>B18-C18</x:f>
        <x:v>24</x:v>
      </x:c>
      <x:c r="G18" s="17" t="str">
        <x:f>IF(C18=0,"UNSCORED",D18/C18)</x:f>
        <x:v>UNSCORED</x:v>
      </x:c>
      <x:c r="H18" s="16" t="n">
        <x:f>C18/B18</x:f>
        <x:v>0</x:v>
      </x:c>
    </x:row>
    <x:row r="19" ht="23" customHeight="1">
      <x:c r="A19" s="2" t="str">
        <x:v>Ensemble</x:v>
      </x:c>
      <x:c r="B19" s="2" t="n">
        <x:f>COUNTIFS('Sound cases'!$B$5:$B$104,A19)</x:f>
        <x:v>12</x:v>
      </x:c>
      <x:c r="C19" s="2" t="n">
        <x:f>D19+E19</x:f>
        <x:v>0</x:v>
      </x:c>
      <x:c r="D19" s="2" t="n">
        <x:f>COUNTIFS('Sound cases'!$B$5:$B$104,A19,'Sound cases'!$L$5:$L$104,"PASS")</x:f>
        <x:v>0</x:v>
      </x:c>
      <x:c r="E19" s="2" t="n">
        <x:f>COUNTIFS('Sound cases'!$B$5:$B$104,A19,'Sound cases'!$L$5:$L$104,"FAIL")</x:f>
        <x:v>0</x:v>
      </x:c>
      <x:c r="F19" s="2" t="n">
        <x:f>B19-C19</x:f>
        <x:v>12</x:v>
      </x:c>
      <x:c r="G19" s="17" t="str">
        <x:f>IF(C19=0,"UNSCORED",D19/C19)</x:f>
        <x:v>UNSCORED</x:v>
      </x:c>
      <x:c r="H19" s="16" t="n">
        <x:f>C19/B19</x:f>
        <x:v>0</x:v>
      </x:c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18" t="str">
        <x:v>How the score works</x:v>
      </x:c>
      <x:c r="B22" s="2"/>
      <x:c r="C22" s="2"/>
      <x:c r="D22" s="2"/>
      <x:c r="E22" s="2"/>
      <x:c r="F22" s="2"/>
      <x:c r="G22" s="2"/>
      <x:c r="H22" s="2"/>
    </x:row>
    <x:row r="23" ht="23" customHeight="1">
      <x:c r="A23" s="19" t="str">
        <x:v>Agreement = cases within all stated tolerances / valid measured cases. Always read it beside coverage.</x:v>
      </x:c>
      <x:c r="B23" s="2"/>
      <x:c r="C23" s="2"/>
      <x:c r="D23" s="2"/>
      <x:c r="E23" s="2"/>
      <x:c r="F23" s="2"/>
      <x:c r="G23" s="2"/>
      <x:c r="H23" s="2"/>
    </x:row>
    <x:row r="24" ht="23" customHeight="1">
      <x:c r="A24" s="19" t="str">
        <x:v>This measures agreement with a chosen target. It is not a percentage of Moog authenticity or musical appeal.</x:v>
      </x:c>
      <x:c r="B24" s="2"/>
      <x:c r="C24" s="2"/>
      <x:c r="D24" s="2"/>
      <x:c r="E24" s="2"/>
      <x:c r="F24" s="2"/>
      <x:c r="G24" s="2"/>
      <x:c r="H24" s="2"/>
    </x:row>
    <x:row r="25" ht="23" customHeight="1">
      <x:c r="A25" s="19" t="str">
        <x:v>Worst error / tolerance is the largest normalized error across every required measurement in that case.</x:v>
      </x:c>
      <x:c r="B25" s="2"/>
      <x:c r="C25" s="2"/>
      <x:c r="D25" s="2"/>
      <x:c r="E25" s="2"/>
      <x:c r="F25" s="2"/>
      <x:c r="G25" s="2"/>
      <x:c r="H25" s="2"/>
    </x:row>
    <x:row r="26" ht="23" customHeight="1">
      <x:c r="A26" s="19" t="str">
        <x:v>Enter VALID only after the reference, all measurements, thresholds and sensitive controls are qualified.</x:v>
      </x:c>
      <x:c r="B26" s="2"/>
      <x:c r="C26" s="2"/>
      <x:c r="D26" s="2"/>
      <x:c r="E26" s="2"/>
      <x:c r="F26" s="2"/>
      <x:c r="G26" s="2"/>
      <x:c r="H26" s="2"/>
    </x:row>
    <x:row r="27" ht="23" customHeight="1">
      <x:c r="A27" s="19" t="str">
        <x:v>A result needs every required measurement plus a result link. Missing evidence stays unscored.</x:v>
      </x:c>
      <x:c r="B27" s="2"/>
      <x:c r="C27" s="2"/>
      <x:c r="D27" s="2"/>
      <x:c r="E27" s="2"/>
      <x:c r="F27" s="2"/>
      <x:c r="G27" s="2"/>
      <x:c r="H27" s="2"/>
    </x:row>
    <x:row r="28" ht="23" customHeight="1">
      <x:c r="A28" s="19" t="str">
        <x:v>An accepted intentional difference changes the versioned target; keep the original reference deviation visible.</x:v>
      </x:c>
      <x:c r="B28" s="2"/>
      <x:c r="C28" s="2"/>
      <x:c r="D28" s="2"/>
      <x:c r="E28" s="2"/>
      <x:c r="F28" s="2"/>
      <x:c r="G28" s="2"/>
      <x:c r="H28" s="2"/>
    </x:row>
    <x:row r="29" ht="23" customHeight="1">
      <x:c r="A29" s="19" t="str">
        <x:v>First 32: 16 drum anchors, 8 mono anchors, 4 filter probes and 4 combined performances.</x:v>
      </x:c>
      <x:c r="B29" s="2"/>
      <x:c r="C29" s="2"/>
      <x:c r="D29" s="2"/>
      <x:c r="E29" s="2"/>
      <x:c r="F29" s="2"/>
      <x:c r="G29" s="2"/>
      <x:c r="H29" s="2"/>
    </x:row>
    <x:row r="30" ht="23" customHeight="1">
      <x:c r="A30" s="19" t="str">
        <x:v>Expand the development set to 80. Use the 20 reserved cases at release checkpoints, not for daily tuning.</x:v>
      </x:c>
      <x:c r="B30" s="2"/>
      <x:c r="C30" s="2"/>
      <x:c r="D30" s="2"/>
      <x:c r="E30" s="2"/>
      <x:c r="F30" s="2"/>
      <x:c r="G30" s="2"/>
      <x:c r="H30" s="2"/>
    </x:row>
    <x:row r="31" ht="23" customHeight="1">
      <x:c r="A31" s="19" t="str">
        <x:v>Reserve exact holdout vectors before tuning. Reusing detailed holdout feedback makes them development data.</x:v>
      </x:c>
      <x:c r="B31" s="2"/>
      <x:c r="C31" s="2"/>
      <x:c r="D31" s="2"/>
      <x:c r="E31" s="2"/>
      <x:c r="F31" s="2"/>
      <x:c r="G31" s="2"/>
      <x:c r="H31" s="2"/>
    </x:row>
    <x:row r="32" ht="23" customHeight="1">
      <x:c r="A32" s="19" t="str">
        <x:v>Amber cells accept runner results. Keep raw WAVs, metric values, units, thresholds and hashes in each result.</x:v>
      </x:c>
      <x:c r="B32" s="2"/>
      <x:c r="C32" s="2"/>
      <x:c r="D32" s="2"/>
      <x:c r="E32" s="2"/>
      <x:c r="F32" s="2"/>
      <x:c r="G32" s="2"/>
      <x:c r="H32" s="2"/>
    </x:row>
    <x:row r="33" ht="23" customHeight="1">
      <x:c r="A33" s="19" t="str">
        <x:v>No acoustic measurements have been imported into this workbook. The case definitions are proposed work.</x:v>
      </x:c>
      <x:c r="B33" s="2"/>
      <x:c r="C33" s="2"/>
      <x:c r="D33" s="2"/>
      <x:c r="E33" s="2"/>
      <x:c r="F33" s="2"/>
      <x:c r="G33" s="2"/>
      <x:c r="H33" s="2"/>
    </x:row>
    <x:row r="34" ht="23" customHeight="1">
      <x:c r="A34" s="19" t="str">
        <x:v>Automate control gestures and sound matching first. Friends judge the remaining musical choices at the end.</x:v>
      </x:c>
      <x:c r="B34" s="2"/>
      <x:c r="C34" s="2"/>
      <x:c r="D34" s="2"/>
      <x:c r="E34" s="2"/>
      <x:c r="F34" s="2"/>
      <x:c r="G34" s="2"/>
      <x:c r="H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18" t="str">
        <x:v>Next deliverables</x:v>
      </x:c>
      <x:c r="B36" s="2"/>
      <x:c r="C36" s="2"/>
      <x:c r="D36" s="2"/>
      <x:c r="E36" s="2"/>
      <x:c r="F36" s="2"/>
      <x:c r="G36" s="2"/>
      <x:c r="H36" s="2"/>
    </x:row>
    <x:row r="37" ht="23" customHeight="1">
      <x:c r="A37" s="2" t="str">
        <x:v>1. Reconcile #73 claims with its diff; resolve #74 contracts and estimator conflicts.</x:v>
      </x:c>
      <x:c r="B37" s="2"/>
      <x:c r="C37" s="2"/>
      <x:c r="D37" s="2"/>
      <x:c r="E37" s="2"/>
      <x:c r="F37" s="2"/>
      <x:c r="G37" s="2"/>
      <x:c r="H37" s="2"/>
    </x:row>
    <x:row r="38" ht="23" customHeight="1">
      <x:c r="A38" s="2" t="str">
        <x:v>2. Render the integrated engine and capture the first 32 scenarios through the intended control path.</x:v>
      </x:c>
      <x:c r="B38" s="2"/>
      <x:c r="C38" s="2"/>
      <x:c r="D38" s="2"/>
      <x:c r="E38" s="2"/>
      <x:c r="F38" s="2"/>
      <x:c r="G38" s="2"/>
      <x:c r="H38" s="2"/>
    </x:row>
    <x:row r="39" ht="23" customHeight="1">
      <x:c r="A39" s="2" t="str">
        <x:v>3. Qualify and cache references; import one measured baseline with per-family results.</x:v>
      </x:c>
      <x:c r="B39" s="2"/>
      <x:c r="C39" s="2"/>
      <x:c r="D39" s="2"/>
      <x:c r="E39" s="2"/>
      <x:c r="F39" s="2"/>
      <x:c r="G39" s="2"/>
      <x:c r="H39" s="2"/>
    </x:row>
    <x:row r="40" ht="23" customHeight="1">
      <x:c r="A40" s="2" t="str">
        <x:v>4. Fix the largest validated reference mismatches; rerun the same cases and report regressions.</x:v>
      </x:c>
      <x:c r="B40" s="2"/>
      <x:c r="C40" s="2"/>
      <x:c r="D40" s="2"/>
      <x:c r="E40" s="2"/>
      <x:c r="F40" s="2"/>
      <x:c r="G40" s="2"/>
      <x:c r="H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36" hidden="0" customWidth="1"/>
    <x:col min="4" max="4" width="18" hidden="0" customWidth="1"/>
    <x:col min="5" max="5" width="17" hidden="0" customWidth="1"/>
    <x:col min="6" max="6" width="32" hidden="0" customWidth="1"/>
    <x:col min="7" max="7" width="46" hidden="0" customWidth="1"/>
    <x:col min="8" max="8" width="13" hidden="0" customWidth="1"/>
    <x:col min="9" max="9" width="13" hidden="0" customWidth="1"/>
    <x:col min="10" max="10" width="18" hidden="0" customWidth="1"/>
    <x:col min="11" max="11" width="18" hidden="0" customWidth="1"/>
    <x:col min="12" max="12" width="17" hidden="0" customWidth="1"/>
    <x:col min="13" max="13" width="34" hidden="0" customWidth="1"/>
    <x:col min="14" max="14" width="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3" t="str">
        <x:v>100 sound cases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32" customHeight="1">
      <x:c r="A4" s="8" t="str">
        <x:v>Case ID</x:v>
      </x:c>
      <x:c r="B4" s="8" t="str">
        <x:v>Family</x:v>
      </x:c>
      <x:c r="C4" s="8" t="str">
        <x:v>Sound or scene</x:v>
      </x:c>
      <x:c r="D4" s="8" t="str">
        <x:v>Batch</x:v>
      </x:c>
      <x:c r="E4" s="8" t="str">
        <x:v>Split</x:v>
      </x:c>
      <x:c r="F4" s="8" t="str">
        <x:v>Reference target</x:v>
      </x:c>
      <x:c r="G4" s="8" t="str">
        <x:v>Required measurements</x:v>
      </x:c>
      <x:c r="H4" s="8" t="str">
        <x:v>Groups required</x:v>
      </x:c>
      <x:c r="I4" s="8" t="str">
        <x:v>Groups valid</x:v>
      </x:c>
      <x:c r="J4" s="8" t="str">
        <x:v>Worst error / tolerance</x:v>
      </x:c>
      <x:c r="K4" s="8" t="str">
        <x:v>Evidence state</x:v>
      </x:c>
      <x:c r="L4" s="8" t="str">
        <x:v>Verdict</x:v>
      </x:c>
      <x:c r="M4" s="8" t="str">
        <x:v>Result link</x:v>
      </x:c>
      <x:c r="N4" s="8" t="str">
        <x:v>Stimulus and mapping</x:v>
      </x:c>
    </x:row>
    <x:row r="5" ht="72" customHeight="1">
      <x:c r="A5" s="2" t="str">
        <x:v>D01A</x:v>
      </x:c>
      <x:c r="B5" s="2" t="str">
        <x:v>Drums</x:v>
      </x:c>
      <x:c r="C5" s="9" t="str">
        <x:v>Bass drum / anchor</x:v>
      </x:c>
      <x:c r="D5" s="9" t="str">
        <x:v>First 32</x:v>
      </x:c>
      <x:c r="E5" s="2" t="str">
        <x:v>Development</x:v>
      </x:c>
      <x:c r="F5" s="9" t="str">
        <x:v>Fischer hardware sample</x:v>
      </x:c>
      <x:c r="G5" s="9" t="str">
        <x:v>Pitch trajectory; early/body energy; decay</x:v>
      </x:c>
      <x:c r="H5" s="12" t="n">
        <x:v>3</x:v>
      </x:c>
      <x:c r="I5" s="13"/>
      <x:c r="J5" s="14"/>
      <x:c r="K5" s="10" t="str">
        <x:v>NOT RUN</x:v>
      </x:c>
      <x:c r="L5" s="2" t="str">
        <x:f>IF(K5="STALE","STALE",IF(K5="NO VERDICT","NO VERDICT",IF(K5&lt;&gt;"VALID","NOT RUN",IF(OR(NOT(ISNUMBER(I5)),I5&lt;&gt;H5,NOT(ISNUMBER(J5)),J5&lt;0,M5=""),"NO VERDICT",IF(J5&lt;=1,"PASS","FAIL")))))</x:f>
        <x:v>NOT RUN</x:v>
      </x:c>
      <x:c r="M5" s="11"/>
      <x:c r="N5" s="9" t="str">
        <x:v>BD alone at the documented reference setting. Preserve the full tail. Measure dry audio at original gain and a separate level-matched copy. Record source filename and any pair selector.</x:v>
      </x:c>
    </x:row>
    <x:row r="6" ht="72" customHeight="1">
      <x:c r="A6" s="2" t="str">
        <x:v>D01B</x:v>
      </x:c>
      <x:c r="B6" s="2" t="str">
        <x:v>Drums</x:v>
      </x:c>
      <x:c r="C6" s="9" t="str">
        <x:v>Bass drum / variation</x:v>
      </x:c>
      <x:c r="D6" s="9" t="str">
        <x:v>Holdout 20</x:v>
      </x:c>
      <x:c r="E6" s="2" t="str">
        <x:v>Holdout</x:v>
      </x:c>
      <x:c r="F6" s="9" t="str">
        <x:v>Second documented hardware setting</x:v>
      </x:c>
      <x:c r="G6" s="9" t="str">
        <x:v>Pitch trajectory; early/body energy; decay</x:v>
      </x:c>
      <x:c r="H6" s="12" t="n">
        <x:v>3</x:v>
      </x:c>
      <x:c r="I6" s="13"/>
      <x:c r="J6" s="14"/>
      <x:c r="K6" s="10" t="str">
        <x:v>NOT RUN</x:v>
      </x:c>
      <x:c r="L6" s="2" t="str">
        <x:f>IF(K6="STALE","STALE",IF(K6="NO VERDICT","NO VERDICT",IF(K6&lt;&gt;"VALID","NOT RUN",IF(OR(NOT(ISNUMBER(I6)),I6&lt;&gt;H6,NOT(ISNUMBER(J6)),J6&lt;0,M6=""),"NO VERDICT",IF(J6&lt;=1,"PASS","FAIL")))))</x:f>
        <x:v>NOT RUN</x:v>
      </x:c>
      <x:c r="M6" s="11"/>
      <x:c r="N6" s="9" t="str">
        <x:v>Reserve an unseen documented setting or strike from a qualifying corpus. Seal the exact file and control vector before tuning. If unavailable, leave this case unscored.</x:v>
      </x:c>
    </x:row>
    <x:row r="7" ht="72" customHeight="1">
      <x:c r="A7" s="2" t="str">
        <x:v>D02A</x:v>
      </x:c>
      <x:c r="B7" s="2" t="str">
        <x:v>Drums</x:v>
      </x:c>
      <x:c r="C7" s="9" t="str">
        <x:v>Snare / anchor</x:v>
      </x:c>
      <x:c r="D7" s="9" t="str">
        <x:v>First 32</x:v>
      </x:c>
      <x:c r="E7" s="2" t="str">
        <x:v>Development</x:v>
      </x:c>
      <x:c r="F7" s="9" t="str">
        <x:v>Fischer hardware sample</x:v>
      </x:c>
      <x:c r="G7" s="9" t="str">
        <x:v>Body/noise balance; attack; noise decay</x:v>
      </x:c>
      <x:c r="H7" s="12" t="n">
        <x:v>3</x:v>
      </x:c>
      <x:c r="I7" s="13"/>
      <x:c r="J7" s="14"/>
      <x:c r="K7" s="10" t="str">
        <x:v>NOT RUN</x:v>
      </x:c>
      <x:c r="L7" s="2" t="str">
        <x:f>IF(K7="STALE","STALE",IF(K7="NO VERDICT","NO VERDICT",IF(K7&lt;&gt;"VALID","NOT RUN",IF(OR(NOT(ISNUMBER(I7)),I7&lt;&gt;H7,NOT(ISNUMBER(J7)),J7&lt;0,M7=""),"NO VERDICT",IF(J7&lt;=1,"PASS","FAIL")))))</x:f>
        <x:v>NOT RUN</x:v>
      </x:c>
      <x:c r="M7" s="11"/>
      <x:c r="N7" s="9" t="str">
        <x:v>SD alone at the documented reference setting. Preserve the full tail. Measure dry audio at original gain and a separate level-matched copy. Record source filename and any pair selector.</x:v>
      </x:c>
    </x:row>
    <x:row r="8" ht="72" customHeight="1">
      <x:c r="A8" s="2" t="str">
        <x:v>D02B</x:v>
      </x:c>
      <x:c r="B8" s="2" t="str">
        <x:v>Drums</x:v>
      </x:c>
      <x:c r="C8" s="9" t="str">
        <x:v>Snare / variation</x:v>
      </x:c>
      <x:c r="D8" s="9" t="str">
        <x:v>Holdout 20</x:v>
      </x:c>
      <x:c r="E8" s="2" t="str">
        <x:v>Holdout</x:v>
      </x:c>
      <x:c r="F8" s="9" t="str">
        <x:v>Second documented hardware setting</x:v>
      </x:c>
      <x:c r="G8" s="9" t="str">
        <x:v>Body/noise balance; attack; noise decay</x:v>
      </x:c>
      <x:c r="H8" s="12" t="n">
        <x:v>3</x:v>
      </x:c>
      <x:c r="I8" s="13"/>
      <x:c r="J8" s="14"/>
      <x:c r="K8" s="10" t="str">
        <x:v>NOT RUN</x:v>
      </x:c>
      <x:c r="L8" s="2" t="str">
        <x:f>IF(K8="STALE","STALE",IF(K8="NO VERDICT","NO VERDICT",IF(K8&lt;&gt;"VALID","NOT RUN",IF(OR(NOT(ISNUMBER(I8)),I8&lt;&gt;H8,NOT(ISNUMBER(J8)),J8&lt;0,M8=""),"NO VERDICT",IF(J8&lt;=1,"PASS","FAIL")))))</x:f>
        <x:v>NOT RUN</x:v>
      </x:c>
      <x:c r="M8" s="11"/>
      <x:c r="N8" s="9" t="str">
        <x:v>Reserve an unseen documented setting or strike from a qualifying corpus. Seal the exact file and control vector before tuning. If unavailable, leave this case unscored.</x:v>
      </x:c>
    </x:row>
    <x:row r="9" ht="72" customHeight="1">
      <x:c r="A9" s="2" t="str">
        <x:v>D03A</x:v>
      </x:c>
      <x:c r="B9" s="2" t="str">
        <x:v>Drums</x:v>
      </x:c>
      <x:c r="C9" s="9" t="str">
        <x:v>Low tom / anchor</x:v>
      </x:c>
      <x:c r="D9" s="9" t="str">
        <x:v>First 32</x:v>
      </x:c>
      <x:c r="E9" s="2" t="str">
        <x:v>Development</x:v>
      </x:c>
      <x:c r="F9" s="9" t="str">
        <x:v>Fischer hardware sample</x:v>
      </x:c>
      <x:c r="G9" s="9" t="str">
        <x:v>Pitch drop; body spectrum; decay</x:v>
      </x:c>
      <x:c r="H9" s="12" t="n">
        <x:v>3</x:v>
      </x:c>
      <x:c r="I9" s="13"/>
      <x:c r="J9" s="14"/>
      <x:c r="K9" s="10" t="str">
        <x:v>NOT RUN</x:v>
      </x:c>
      <x:c r="L9" s="2" t="str">
        <x:f>IF(K9="STALE","STALE",IF(K9="NO VERDICT","NO VERDICT",IF(K9&lt;&gt;"VALID","NOT RUN",IF(OR(NOT(ISNUMBER(I9)),I9&lt;&gt;H9,NOT(ISNUMBER(J9)),J9&lt;0,M9=""),"NO VERDICT",IF(J9&lt;=1,"PASS","FAIL")))))</x:f>
        <x:v>NOT RUN</x:v>
      </x:c>
      <x:c r="M9" s="11"/>
      <x:c r="N9" s="9" t="str">
        <x:v>LT alone at the documented reference setting. Preserve the full tail. Measure dry audio at original gain and a separate level-matched copy. Record source filename and any pair selector.</x:v>
      </x:c>
    </x:row>
    <x:row r="10" ht="72" customHeight="1">
      <x:c r="A10" s="2" t="str">
        <x:v>D03B</x:v>
      </x:c>
      <x:c r="B10" s="2" t="str">
        <x:v>Drums</x:v>
      </x:c>
      <x:c r="C10" s="9" t="str">
        <x:v>Low tom / variation</x:v>
      </x:c>
      <x:c r="D10" s="9" t="str">
        <x:v>Expansion 48</x:v>
      </x:c>
      <x:c r="E10" s="2" t="str">
        <x:v>Development</x:v>
      </x:c>
      <x:c r="F10" s="9" t="str">
        <x:v>Second documented hardware setting</x:v>
      </x:c>
      <x:c r="G10" s="9" t="str">
        <x:v>Pitch drop; body spectrum; decay</x:v>
      </x:c>
      <x:c r="H10" s="12" t="n">
        <x:v>3</x:v>
      </x:c>
      <x:c r="I10" s="13"/>
      <x:c r="J10" s="14"/>
      <x:c r="K10" s="10" t="str">
        <x:v>NOT RUN</x:v>
      </x:c>
      <x:c r="L10" s="2" t="str">
        <x:f>IF(K10="STALE","STALE",IF(K10="NO VERDICT","NO VERDICT",IF(K10&lt;&gt;"VALID","NOT RUN",IF(OR(NOT(ISNUMBER(I10)),I10&lt;&gt;H10,NOT(ISNUMBER(J10)),J10&lt;0,M10=""),"NO VERDICT",IF(J10&lt;=1,"PASS","FAIL")))))</x:f>
        <x:v>NOT RUN</x:v>
      </x:c>
      <x:c r="M10" s="11"/>
      <x:c r="N10" s="9" t="str">
        <x:v>Choose a second documented knob setting or independently recorded strike. Use actual source settings; do not invent hardware accent behavior by scaling one WAV. Missing source stays unscored.</x:v>
      </x:c>
    </x:row>
    <x:row r="11" ht="72" customHeight="1">
      <x:c r="A11" s="2" t="str">
        <x:v>D04A</x:v>
      </x:c>
      <x:c r="B11" s="2" t="str">
        <x:v>Drums</x:v>
      </x:c>
      <x:c r="C11" s="9" t="str">
        <x:v>Low conga / anchor</x:v>
      </x:c>
      <x:c r="D11" s="9" t="str">
        <x:v>First 32</x:v>
      </x:c>
      <x:c r="E11" s="2" t="str">
        <x:v>Development</x:v>
      </x:c>
      <x:c r="F11" s="9" t="str">
        <x:v>Fischer hardware sample</x:v>
      </x:c>
      <x:c r="G11" s="9" t="str">
        <x:v>Pitch; body spectrum; decay</x:v>
      </x:c>
      <x:c r="H11" s="12" t="n">
        <x:v>3</x:v>
      </x:c>
      <x:c r="I11" s="13"/>
      <x:c r="J11" s="14"/>
      <x:c r="K11" s="10" t="str">
        <x:v>NOT RUN</x:v>
      </x:c>
      <x:c r="L11" s="2" t="str">
        <x:f>IF(K11="STALE","STALE",IF(K11="NO VERDICT","NO VERDICT",IF(K11&lt;&gt;"VALID","NOT RUN",IF(OR(NOT(ISNUMBER(I11)),I11&lt;&gt;H11,NOT(ISNUMBER(J11)),J11&lt;0,M11=""),"NO VERDICT",IF(J11&lt;=1,"PASS","FAIL")))))</x:f>
        <x:v>NOT RUN</x:v>
      </x:c>
      <x:c r="M11" s="11"/>
      <x:c r="N11" s="9" t="str">
        <x:v>LC alone at the documented reference setting. Preserve the full tail. Measure dry audio at original gain and a separate level-matched copy. Record source filename and any pair selector.</x:v>
      </x:c>
    </x:row>
    <x:row r="12" ht="72" customHeight="1">
      <x:c r="A12" s="2" t="str">
        <x:v>D04B</x:v>
      </x:c>
      <x:c r="B12" s="2" t="str">
        <x:v>Drums</x:v>
      </x:c>
      <x:c r="C12" s="9" t="str">
        <x:v>Low conga / variation</x:v>
      </x:c>
      <x:c r="D12" s="9" t="str">
        <x:v>Expansion 48</x:v>
      </x:c>
      <x:c r="E12" s="2" t="str">
        <x:v>Development</x:v>
      </x:c>
      <x:c r="F12" s="9" t="str">
        <x:v>Second documented hardware setting</x:v>
      </x:c>
      <x:c r="G12" s="9" t="str">
        <x:v>Pitch; body spectrum; decay</x:v>
      </x:c>
      <x:c r="H12" s="12" t="n">
        <x:v>3</x:v>
      </x:c>
      <x:c r="I12" s="13"/>
      <x:c r="J12" s="14"/>
      <x:c r="K12" s="10" t="str">
        <x:v>NOT RUN</x:v>
      </x:c>
      <x:c r="L12" s="2" t="str">
        <x:f>IF(K12="STALE","STALE",IF(K12="NO VERDICT","NO VERDICT",IF(K12&lt;&gt;"VALID","NOT RUN",IF(OR(NOT(ISNUMBER(I12)),I12&lt;&gt;H12,NOT(ISNUMBER(J12)),J12&lt;0,M12=""),"NO VERDICT",IF(J12&lt;=1,"PASS","FAIL")))))</x:f>
        <x:v>NOT RUN</x:v>
      </x:c>
      <x:c r="M12" s="11"/>
      <x:c r="N12" s="9" t="str">
        <x:v>Choose a second documented knob setting or independently recorded strike. Use actual source settings; do not invent hardware accent behavior by scaling one WAV. Missing source stays unscored.</x:v>
      </x:c>
    </x:row>
    <x:row r="13" ht="72" customHeight="1">
      <x:c r="A13" s="2" t="str">
        <x:v>D05A</x:v>
      </x:c>
      <x:c r="B13" s="2" t="str">
        <x:v>Drums</x:v>
      </x:c>
      <x:c r="C13" s="9" t="str">
        <x:v>Mid tom / anchor</x:v>
      </x:c>
      <x:c r="D13" s="9" t="str">
        <x:v>First 32</x:v>
      </x:c>
      <x:c r="E13" s="2" t="str">
        <x:v>Development</x:v>
      </x:c>
      <x:c r="F13" s="9" t="str">
        <x:v>Fischer hardware sample</x:v>
      </x:c>
      <x:c r="G13" s="9" t="str">
        <x:v>Pitch drop; body spectrum; decay</x:v>
      </x:c>
      <x:c r="H13" s="12" t="n">
        <x:v>3</x:v>
      </x:c>
      <x:c r="I13" s="13"/>
      <x:c r="J13" s="14"/>
      <x:c r="K13" s="10" t="str">
        <x:v>NOT RUN</x:v>
      </x:c>
      <x:c r="L13" s="2" t="str">
        <x:f>IF(K13="STALE","STALE",IF(K13="NO VERDICT","NO VERDICT",IF(K13&lt;&gt;"VALID","NOT RUN",IF(OR(NOT(ISNUMBER(I13)),I13&lt;&gt;H13,NOT(ISNUMBER(J13)),J13&lt;0,M13=""),"NO VERDICT",IF(J13&lt;=1,"PASS","FAIL")))))</x:f>
        <x:v>NOT RUN</x:v>
      </x:c>
      <x:c r="M13" s="11"/>
      <x:c r="N13" s="9" t="str">
        <x:v>MT alone at the documented reference setting. Preserve the full tail. Measure dry audio at original gain and a separate level-matched copy. Record source filename and any pair selector.</x:v>
      </x:c>
    </x:row>
    <x:row r="14" ht="72" customHeight="1">
      <x:c r="A14" s="2" t="str">
        <x:v>D05B</x:v>
      </x:c>
      <x:c r="B14" s="2" t="str">
        <x:v>Drums</x:v>
      </x:c>
      <x:c r="C14" s="9" t="str">
        <x:v>Mid tom / variation</x:v>
      </x:c>
      <x:c r="D14" s="9" t="str">
        <x:v>Expansion 48</x:v>
      </x:c>
      <x:c r="E14" s="2" t="str">
        <x:v>Development</x:v>
      </x:c>
      <x:c r="F14" s="9" t="str">
        <x:v>Second documented hardware setting</x:v>
      </x:c>
      <x:c r="G14" s="9" t="str">
        <x:v>Pitch drop; body spectrum; decay</x:v>
      </x:c>
      <x:c r="H14" s="12" t="n">
        <x:v>3</x:v>
      </x:c>
      <x:c r="I14" s="13"/>
      <x:c r="J14" s="14"/>
      <x:c r="K14" s="10" t="str">
        <x:v>NOT RUN</x:v>
      </x:c>
      <x:c r="L14" s="2" t="str">
        <x:f>IF(K14="STALE","STALE",IF(K14="NO VERDICT","NO VERDICT",IF(K14&lt;&gt;"VALID","NOT RUN",IF(OR(NOT(ISNUMBER(I14)),I14&lt;&gt;H14,NOT(ISNUMBER(J14)),J14&lt;0,M14=""),"NO VERDICT",IF(J14&lt;=1,"PASS","FAIL")))))</x:f>
        <x:v>NOT RUN</x:v>
      </x:c>
      <x:c r="M14" s="11"/>
      <x:c r="N14" s="9" t="str">
        <x:v>Choose a second documented knob setting or independently recorded strike. Use actual source settings; do not invent hardware accent behavior by scaling one WAV. Missing source stays unscored.</x:v>
      </x:c>
    </x:row>
    <x:row r="15" ht="72" customHeight="1">
      <x:c r="A15" s="2" t="str">
        <x:v>D06A</x:v>
      </x:c>
      <x:c r="B15" s="2" t="str">
        <x:v>Drums</x:v>
      </x:c>
      <x:c r="C15" s="9" t="str">
        <x:v>Mid conga / anchor</x:v>
      </x:c>
      <x:c r="D15" s="9" t="str">
        <x:v>First 32</x:v>
      </x:c>
      <x:c r="E15" s="2" t="str">
        <x:v>Development</x:v>
      </x:c>
      <x:c r="F15" s="9" t="str">
        <x:v>Fischer hardware sample</x:v>
      </x:c>
      <x:c r="G15" s="9" t="str">
        <x:v>Pitch; body spectrum; decay</x:v>
      </x:c>
      <x:c r="H15" s="12" t="n">
        <x:v>3</x:v>
      </x:c>
      <x:c r="I15" s="13"/>
      <x:c r="J15" s="14"/>
      <x:c r="K15" s="10" t="str">
        <x:v>NOT RUN</x:v>
      </x:c>
      <x:c r="L15" s="2" t="str">
        <x:f>IF(K15="STALE","STALE",IF(K15="NO VERDICT","NO VERDICT",IF(K15&lt;&gt;"VALID","NOT RUN",IF(OR(NOT(ISNUMBER(I15)),I15&lt;&gt;H15,NOT(ISNUMBER(J15)),J15&lt;0,M15=""),"NO VERDICT",IF(J15&lt;=1,"PASS","FAIL")))))</x:f>
        <x:v>NOT RUN</x:v>
      </x:c>
      <x:c r="M15" s="11"/>
      <x:c r="N15" s="9" t="str">
        <x:v>MC alone at the documented reference setting. Preserve the full tail. Measure dry audio at original gain and a separate level-matched copy. Record source filename and any pair selector.</x:v>
      </x:c>
    </x:row>
    <x:row r="16" ht="72" customHeight="1">
      <x:c r="A16" s="2" t="str">
        <x:v>D06B</x:v>
      </x:c>
      <x:c r="B16" s="2" t="str">
        <x:v>Drums</x:v>
      </x:c>
      <x:c r="C16" s="9" t="str">
        <x:v>Mid conga / variation</x:v>
      </x:c>
      <x:c r="D16" s="9" t="str">
        <x:v>Expansion 48</x:v>
      </x:c>
      <x:c r="E16" s="2" t="str">
        <x:v>Development</x:v>
      </x:c>
      <x:c r="F16" s="9" t="str">
        <x:v>Second documented hardware setting</x:v>
      </x:c>
      <x:c r="G16" s="9" t="str">
        <x:v>Pitch; body spectrum; decay</x:v>
      </x:c>
      <x:c r="H16" s="12" t="n">
        <x:v>3</x:v>
      </x:c>
      <x:c r="I16" s="13"/>
      <x:c r="J16" s="14"/>
      <x:c r="K16" s="10" t="str">
        <x:v>NOT RUN</x:v>
      </x:c>
      <x:c r="L16" s="2" t="str">
        <x:f>IF(K16="STALE","STALE",IF(K16="NO VERDICT","NO VERDICT",IF(K16&lt;&gt;"VALID","NOT RUN",IF(OR(NOT(ISNUMBER(I16)),I16&lt;&gt;H16,NOT(ISNUMBER(J16)),J16&lt;0,M16=""),"NO VERDICT",IF(J16&lt;=1,"PASS","FAIL")))))</x:f>
        <x:v>NOT RUN</x:v>
      </x:c>
      <x:c r="M16" s="11"/>
      <x:c r="N16" s="9" t="str">
        <x:v>Choose a second documented knob setting or independently recorded strike. Use actual source settings; do not invent hardware accent behavior by scaling one WAV. Missing source stays unscored.</x:v>
      </x:c>
    </x:row>
    <x:row r="17" ht="72" customHeight="1">
      <x:c r="A17" s="2" t="str">
        <x:v>D07A</x:v>
      </x:c>
      <x:c r="B17" s="2" t="str">
        <x:v>Drums</x:v>
      </x:c>
      <x:c r="C17" s="9" t="str">
        <x:v>High tom / anchor</x:v>
      </x:c>
      <x:c r="D17" s="9" t="str">
        <x:v>First 32</x:v>
      </x:c>
      <x:c r="E17" s="2" t="str">
        <x:v>Development</x:v>
      </x:c>
      <x:c r="F17" s="9" t="str">
        <x:v>Fischer hardware sample</x:v>
      </x:c>
      <x:c r="G17" s="9" t="str">
        <x:v>Pitch drop; body spectrum; decay</x:v>
      </x:c>
      <x:c r="H17" s="12" t="n">
        <x:v>3</x:v>
      </x:c>
      <x:c r="I17" s="13"/>
      <x:c r="J17" s="14"/>
      <x:c r="K17" s="10" t="str">
        <x:v>NOT RUN</x:v>
      </x:c>
      <x:c r="L17" s="2" t="str">
        <x:f>IF(K17="STALE","STALE",IF(K17="NO VERDICT","NO VERDICT",IF(K17&lt;&gt;"VALID","NOT RUN",IF(OR(NOT(ISNUMBER(I17)),I17&lt;&gt;H17,NOT(ISNUMBER(J17)),J17&lt;0,M17=""),"NO VERDICT",IF(J17&lt;=1,"PASS","FAIL")))))</x:f>
        <x:v>NOT RUN</x:v>
      </x:c>
      <x:c r="M17" s="11"/>
      <x:c r="N17" s="9" t="str">
        <x:v>HT alone at the documented reference setting. Preserve the full tail. Measure dry audio at original gain and a separate level-matched copy. Record source filename and any pair selector.</x:v>
      </x:c>
    </x:row>
    <x:row r="18" ht="72" customHeight="1">
      <x:c r="A18" s="2" t="str">
        <x:v>D07B</x:v>
      </x:c>
      <x:c r="B18" s="2" t="str">
        <x:v>Drums</x:v>
      </x:c>
      <x:c r="C18" s="9" t="str">
        <x:v>High tom / variation</x:v>
      </x:c>
      <x:c r="D18" s="9" t="str">
        <x:v>Holdout 20</x:v>
      </x:c>
      <x:c r="E18" s="2" t="str">
        <x:v>Holdout</x:v>
      </x:c>
      <x:c r="F18" s="9" t="str">
        <x:v>Second documented hardware setting</x:v>
      </x:c>
      <x:c r="G18" s="9" t="str">
        <x:v>Pitch drop; body spectrum; decay</x:v>
      </x:c>
      <x:c r="H18" s="12" t="n">
        <x:v>3</x:v>
      </x:c>
      <x:c r="I18" s="13"/>
      <x:c r="J18" s="14"/>
      <x:c r="K18" s="10" t="str">
        <x:v>NOT RUN</x:v>
      </x:c>
      <x:c r="L18" s="2" t="str">
        <x:f>IF(K18="STALE","STALE",IF(K18="NO VERDICT","NO VERDICT",IF(K18&lt;&gt;"VALID","NOT RUN",IF(OR(NOT(ISNUMBER(I18)),I18&lt;&gt;H18,NOT(ISNUMBER(J18)),J18&lt;0,M18=""),"NO VERDICT",IF(J18&lt;=1,"PASS","FAIL")))))</x:f>
        <x:v>NOT RUN</x:v>
      </x:c>
      <x:c r="M18" s="11"/>
      <x:c r="N18" s="9" t="str">
        <x:v>Reserve an unseen documented setting or strike from a qualifying corpus. Seal the exact file and control vector before tuning. If unavailable, leave this case unscored.</x:v>
      </x:c>
    </x:row>
    <x:row r="19" ht="72" customHeight="1">
      <x:c r="A19" s="2" t="str">
        <x:v>D08A</x:v>
      </x:c>
      <x:c r="B19" s="2" t="str">
        <x:v>Drums</x:v>
      </x:c>
      <x:c r="C19" s="9" t="str">
        <x:v>High conga / anchor</x:v>
      </x:c>
      <x:c r="D19" s="9" t="str">
        <x:v>First 32</x:v>
      </x:c>
      <x:c r="E19" s="2" t="str">
        <x:v>Development</x:v>
      </x:c>
      <x:c r="F19" s="9" t="str">
        <x:v>Fischer hardware sample</x:v>
      </x:c>
      <x:c r="G19" s="9" t="str">
        <x:v>Pitch; body spectrum; decay</x:v>
      </x:c>
      <x:c r="H19" s="12" t="n">
        <x:v>3</x:v>
      </x:c>
      <x:c r="I19" s="13"/>
      <x:c r="J19" s="14"/>
      <x:c r="K19" s="10" t="str">
        <x:v>NOT RUN</x:v>
      </x:c>
      <x:c r="L19" s="2" t="str">
        <x:f>IF(K19="STALE","STALE",IF(K19="NO VERDICT","NO VERDICT",IF(K19&lt;&gt;"VALID","NOT RUN",IF(OR(NOT(ISNUMBER(I19)),I19&lt;&gt;H19,NOT(ISNUMBER(J19)),J19&lt;0,M19=""),"NO VERDICT",IF(J19&lt;=1,"PASS","FAIL")))))</x:f>
        <x:v>NOT RUN</x:v>
      </x:c>
      <x:c r="M19" s="11"/>
      <x:c r="N19" s="9" t="str">
        <x:v>HC alone at the documented reference setting. Preserve the full tail. Measure dry audio at original gain and a separate level-matched copy. Record source filename and any pair selector.</x:v>
      </x:c>
    </x:row>
    <x:row r="20" ht="72" customHeight="1">
      <x:c r="A20" s="2" t="str">
        <x:v>D08B</x:v>
      </x:c>
      <x:c r="B20" s="2" t="str">
        <x:v>Drums</x:v>
      </x:c>
      <x:c r="C20" s="9" t="str">
        <x:v>High conga / variation</x:v>
      </x:c>
      <x:c r="D20" s="9" t="str">
        <x:v>Holdout 20</x:v>
      </x:c>
      <x:c r="E20" s="2" t="str">
        <x:v>Holdout</x:v>
      </x:c>
      <x:c r="F20" s="9" t="str">
        <x:v>Second documented hardware setting</x:v>
      </x:c>
      <x:c r="G20" s="9" t="str">
        <x:v>Pitch; body spectrum; decay</x:v>
      </x:c>
      <x:c r="H20" s="12" t="n">
        <x:v>3</x:v>
      </x:c>
      <x:c r="I20" s="13"/>
      <x:c r="J20" s="14"/>
      <x:c r="K20" s="10" t="str">
        <x:v>NOT RUN</x:v>
      </x:c>
      <x:c r="L20" s="2" t="str">
        <x:f>IF(K20="STALE","STALE",IF(K20="NO VERDICT","NO VERDICT",IF(K20&lt;&gt;"VALID","NOT RUN",IF(OR(NOT(ISNUMBER(I20)),I20&lt;&gt;H20,NOT(ISNUMBER(J20)),J20&lt;0,M20=""),"NO VERDICT",IF(J20&lt;=1,"PASS","FAIL")))))</x:f>
        <x:v>NOT RUN</x:v>
      </x:c>
      <x:c r="M20" s="11"/>
      <x:c r="N20" s="9" t="str">
        <x:v>Reserve an unseen documented setting or strike from a qualifying corpus. Seal the exact file and control vector before tuning. If unavailable, leave this case unscored.</x:v>
      </x:c>
    </x:row>
    <x:row r="21" ht="72" customHeight="1">
      <x:c r="A21" s="2" t="str">
        <x:v>D09A</x:v>
      </x:c>
      <x:c r="B21" s="2" t="str">
        <x:v>Drums</x:v>
      </x:c>
      <x:c r="C21" s="9" t="str">
        <x:v>Claves / anchor</x:v>
      </x:c>
      <x:c r="D21" s="9" t="str">
        <x:v>First 32</x:v>
      </x:c>
      <x:c r="E21" s="2" t="str">
        <x:v>Development</x:v>
      </x:c>
      <x:c r="F21" s="9" t="str">
        <x:v>Fischer hardware sample</x:v>
      </x:c>
      <x:c r="G21" s="9" t="str">
        <x:v>Pitch; attack duration; tail decay</x:v>
      </x:c>
      <x:c r="H21" s="12" t="n">
        <x:v>3</x:v>
      </x:c>
      <x:c r="I21" s="13"/>
      <x:c r="J21" s="14"/>
      <x:c r="K21" s="10" t="str">
        <x:v>NOT RUN</x:v>
      </x:c>
      <x:c r="L21" s="2" t="str">
        <x:f>IF(K21="STALE","STALE",IF(K21="NO VERDICT","NO VERDICT",IF(K21&lt;&gt;"VALID","NOT RUN",IF(OR(NOT(ISNUMBER(I21)),I21&lt;&gt;H21,NOT(ISNUMBER(J21)),J21&lt;0,M21=""),"NO VERDICT",IF(J21&lt;=1,"PASS","FAIL")))))</x:f>
        <x:v>NOT RUN</x:v>
      </x:c>
      <x:c r="M21" s="11"/>
      <x:c r="N21" s="9" t="str">
        <x:v>CL alone at the documented reference setting. Preserve the full tail. Measure dry audio at original gain and a separate level-matched copy. Record source filename and any pair selector.</x:v>
      </x:c>
    </x:row>
    <x:row r="22" ht="72" customHeight="1">
      <x:c r="A22" s="2" t="str">
        <x:v>D09B</x:v>
      </x:c>
      <x:c r="B22" s="2" t="str">
        <x:v>Drums</x:v>
      </x:c>
      <x:c r="C22" s="9" t="str">
        <x:v>Claves / variation</x:v>
      </x:c>
      <x:c r="D22" s="9" t="str">
        <x:v>Holdout 20</x:v>
      </x:c>
      <x:c r="E22" s="2" t="str">
        <x:v>Holdout</x:v>
      </x:c>
      <x:c r="F22" s="9" t="str">
        <x:v>Second documented hardware setting</x:v>
      </x:c>
      <x:c r="G22" s="9" t="str">
        <x:v>Pitch; attack duration; tail decay</x:v>
      </x:c>
      <x:c r="H22" s="12" t="n">
        <x:v>3</x:v>
      </x:c>
      <x:c r="I22" s="13"/>
      <x:c r="J22" s="14"/>
      <x:c r="K22" s="10" t="str">
        <x:v>NOT RUN</x:v>
      </x:c>
      <x:c r="L22" s="2" t="str">
        <x:f>IF(K22="STALE","STALE",IF(K22="NO VERDICT","NO VERDICT",IF(K22&lt;&gt;"VALID","NOT RUN",IF(OR(NOT(ISNUMBER(I22)),I22&lt;&gt;H22,NOT(ISNUMBER(J22)),J22&lt;0,M22=""),"NO VERDICT",IF(J22&lt;=1,"PASS","FAIL")))))</x:f>
        <x:v>NOT RUN</x:v>
      </x:c>
      <x:c r="M22" s="11"/>
      <x:c r="N22" s="9" t="str">
        <x:v>Reserve an unseen documented setting or strike from a qualifying corpus. Seal the exact file and control vector before tuning. If unavailable, leave this case unscored.</x:v>
      </x:c>
    </x:row>
    <x:row r="23" ht="72" customHeight="1">
      <x:c r="A23" s="2" t="str">
        <x:v>D10A</x:v>
      </x:c>
      <x:c r="B23" s="2" t="str">
        <x:v>Drums</x:v>
      </x:c>
      <x:c r="C23" s="9" t="str">
        <x:v>Rimshot / anchor</x:v>
      </x:c>
      <x:c r="D23" s="9" t="str">
        <x:v>First 32</x:v>
      </x:c>
      <x:c r="E23" s="2" t="str">
        <x:v>Development</x:v>
      </x:c>
      <x:c r="F23" s="9" t="str">
        <x:v>Fischer hardware sample</x:v>
      </x:c>
      <x:c r="G23" s="9" t="str">
        <x:v>Partial balance; attack; tail decay</x:v>
      </x:c>
      <x:c r="H23" s="12" t="n">
        <x:v>3</x:v>
      </x:c>
      <x:c r="I23" s="13"/>
      <x:c r="J23" s="14"/>
      <x:c r="K23" s="10" t="str">
        <x:v>NOT RUN</x:v>
      </x:c>
      <x:c r="L23" s="2" t="str">
        <x:f>IF(K23="STALE","STALE",IF(K23="NO VERDICT","NO VERDICT",IF(K23&lt;&gt;"VALID","NOT RUN",IF(OR(NOT(ISNUMBER(I23)),I23&lt;&gt;H23,NOT(ISNUMBER(J23)),J23&lt;0,M23=""),"NO VERDICT",IF(J23&lt;=1,"PASS","FAIL")))))</x:f>
        <x:v>NOT RUN</x:v>
      </x:c>
      <x:c r="M23" s="11"/>
      <x:c r="N23" s="9" t="str">
        <x:v>RS alone at the documented reference setting. Preserve the full tail. Measure dry audio at original gain and a separate level-matched copy. Record source filename and any pair selector.</x:v>
      </x:c>
    </x:row>
    <x:row r="24" ht="72" customHeight="1">
      <x:c r="A24" s="2" t="str">
        <x:v>D10B</x:v>
      </x:c>
      <x:c r="B24" s="2" t="str">
        <x:v>Drums</x:v>
      </x:c>
      <x:c r="C24" s="9" t="str">
        <x:v>Rimshot / variation</x:v>
      </x:c>
      <x:c r="D24" s="9" t="str">
        <x:v>Expansion 48</x:v>
      </x:c>
      <x:c r="E24" s="2" t="str">
        <x:v>Development</x:v>
      </x:c>
      <x:c r="F24" s="9" t="str">
        <x:v>Second documented hardware setting</x:v>
      </x:c>
      <x:c r="G24" s="9" t="str">
        <x:v>Partial balance; attack; tail decay</x:v>
      </x:c>
      <x:c r="H24" s="12" t="n">
        <x:v>3</x:v>
      </x:c>
      <x:c r="I24" s="13"/>
      <x:c r="J24" s="14"/>
      <x:c r="K24" s="10" t="str">
        <x:v>NOT RUN</x:v>
      </x:c>
      <x:c r="L24" s="2" t="str">
        <x:f>IF(K24="STALE","STALE",IF(K24="NO VERDICT","NO VERDICT",IF(K24&lt;&gt;"VALID","NOT RUN",IF(OR(NOT(ISNUMBER(I24)),I24&lt;&gt;H24,NOT(ISNUMBER(J24)),J24&lt;0,M24=""),"NO VERDICT",IF(J24&lt;=1,"PASS","FAIL")))))</x:f>
        <x:v>NOT RUN</x:v>
      </x:c>
      <x:c r="M24" s="11"/>
      <x:c r="N24" s="9" t="str">
        <x:v>Choose a second documented knob setting or independently recorded strike. Use actual source settings; do not invent hardware accent behavior by scaling one WAV. Missing source stays unscored.</x:v>
      </x:c>
    </x:row>
    <x:row r="25" ht="72" customHeight="1">
      <x:c r="A25" s="2" t="str">
        <x:v>D11A</x:v>
      </x:c>
      <x:c r="B25" s="2" t="str">
        <x:v>Drums</x:v>
      </x:c>
      <x:c r="C25" s="9" t="str">
        <x:v>Maracas / anchor</x:v>
      </x:c>
      <x:c r="D25" s="9" t="str">
        <x:v>First 32</x:v>
      </x:c>
      <x:c r="E25" s="2" t="str">
        <x:v>Development</x:v>
      </x:c>
      <x:c r="F25" s="9" t="str">
        <x:v>Fischer hardware sample</x:v>
      </x:c>
      <x:c r="G25" s="9" t="str">
        <x:v>Rise time; band energy; decay</x:v>
      </x:c>
      <x:c r="H25" s="12" t="n">
        <x:v>3</x:v>
      </x:c>
      <x:c r="I25" s="13"/>
      <x:c r="J25" s="14"/>
      <x:c r="K25" s="10" t="str">
        <x:v>NOT RUN</x:v>
      </x:c>
      <x:c r="L25" s="2" t="str">
        <x:f>IF(K25="STALE","STALE",IF(K25="NO VERDICT","NO VERDICT",IF(K25&lt;&gt;"VALID","NOT RUN",IF(OR(NOT(ISNUMBER(I25)),I25&lt;&gt;H25,NOT(ISNUMBER(J25)),J25&lt;0,M25=""),"NO VERDICT",IF(J25&lt;=1,"PASS","FAIL")))))</x:f>
        <x:v>NOT RUN</x:v>
      </x:c>
      <x:c r="M25" s="11"/>
      <x:c r="N25" s="9" t="str">
        <x:v>MA alone at the documented reference setting. Preserve the full tail. Measure dry audio at original gain and a separate level-matched copy. Record source filename and any pair selector.</x:v>
      </x:c>
    </x:row>
    <x:row r="26" ht="72" customHeight="1">
      <x:c r="A26" s="2" t="str">
        <x:v>D11B</x:v>
      </x:c>
      <x:c r="B26" s="2" t="str">
        <x:v>Drums</x:v>
      </x:c>
      <x:c r="C26" s="9" t="str">
        <x:v>Maracas / variation</x:v>
      </x:c>
      <x:c r="D26" s="9" t="str">
        <x:v>Expansion 48</x:v>
      </x:c>
      <x:c r="E26" s="2" t="str">
        <x:v>Development</x:v>
      </x:c>
      <x:c r="F26" s="9" t="str">
        <x:v>Second documented hardware setting</x:v>
      </x:c>
      <x:c r="G26" s="9" t="str">
        <x:v>Rise time; band energy; decay</x:v>
      </x:c>
      <x:c r="H26" s="12" t="n">
        <x:v>3</x:v>
      </x:c>
      <x:c r="I26" s="13"/>
      <x:c r="J26" s="14"/>
      <x:c r="K26" s="10" t="str">
        <x:v>NOT RUN</x:v>
      </x:c>
      <x:c r="L26" s="2" t="str">
        <x:f>IF(K26="STALE","STALE",IF(K26="NO VERDICT","NO VERDICT",IF(K26&lt;&gt;"VALID","NOT RUN",IF(OR(NOT(ISNUMBER(I26)),I26&lt;&gt;H26,NOT(ISNUMBER(J26)),J26&lt;0,M26=""),"NO VERDICT",IF(J26&lt;=1,"PASS","FAIL")))))</x:f>
        <x:v>NOT RUN</x:v>
      </x:c>
      <x:c r="M26" s="11"/>
      <x:c r="N26" s="9" t="str">
        <x:v>Choose a second documented knob setting or independently recorded strike. Use actual source settings; do not invent hardware accent behavior by scaling one WAV. Missing source stays unscored.</x:v>
      </x:c>
    </x:row>
    <x:row r="27" ht="72" customHeight="1">
      <x:c r="A27" s="2" t="str">
        <x:v>D12A</x:v>
      </x:c>
      <x:c r="B27" s="2" t="str">
        <x:v>Drums</x:v>
      </x:c>
      <x:c r="C27" s="9" t="str">
        <x:v>Clap / anchor</x:v>
      </x:c>
      <x:c r="D27" s="9" t="str">
        <x:v>First 32</x:v>
      </x:c>
      <x:c r="E27" s="2" t="str">
        <x:v>Development</x:v>
      </x:c>
      <x:c r="F27" s="9" t="str">
        <x:v>Fischer hardware sample</x:v>
      </x:c>
      <x:c r="G27" s="9" t="str">
        <x:v>Burst timing; burst/tail ratio; decay</x:v>
      </x:c>
      <x:c r="H27" s="12" t="n">
        <x:v>3</x:v>
      </x:c>
      <x:c r="I27" s="13"/>
      <x:c r="J27" s="14"/>
      <x:c r="K27" s="10" t="str">
        <x:v>NOT RUN</x:v>
      </x:c>
      <x:c r="L27" s="2" t="str">
        <x:f>IF(K27="STALE","STALE",IF(K27="NO VERDICT","NO VERDICT",IF(K27&lt;&gt;"VALID","NOT RUN",IF(OR(NOT(ISNUMBER(I27)),I27&lt;&gt;H27,NOT(ISNUMBER(J27)),J27&lt;0,M27=""),"NO VERDICT",IF(J27&lt;=1,"PASS","FAIL")))))</x:f>
        <x:v>NOT RUN</x:v>
      </x:c>
      <x:c r="M27" s="11"/>
      <x:c r="N27" s="9" t="str">
        <x:v>CP alone at the documented reference setting. Preserve the full tail. Measure dry audio at original gain and a separate level-matched copy. Record source filename and any pair selector.</x:v>
      </x:c>
    </x:row>
    <x:row r="28" ht="72" customHeight="1">
      <x:c r="A28" s="2" t="str">
        <x:v>D12B</x:v>
      </x:c>
      <x:c r="B28" s="2" t="str">
        <x:v>Drums</x:v>
      </x:c>
      <x:c r="C28" s="9" t="str">
        <x:v>Clap / variation</x:v>
      </x:c>
      <x:c r="D28" s="9" t="str">
        <x:v>Expansion 48</x:v>
      </x:c>
      <x:c r="E28" s="2" t="str">
        <x:v>Development</x:v>
      </x:c>
      <x:c r="F28" s="9" t="str">
        <x:v>Second documented hardware setting</x:v>
      </x:c>
      <x:c r="G28" s="9" t="str">
        <x:v>Burst timing; burst/tail ratio; decay</x:v>
      </x:c>
      <x:c r="H28" s="12" t="n">
        <x:v>3</x:v>
      </x:c>
      <x:c r="I28" s="13"/>
      <x:c r="J28" s="14"/>
      <x:c r="K28" s="10" t="str">
        <x:v>NOT RUN</x:v>
      </x:c>
      <x:c r="L28" s="2" t="str">
        <x:f>IF(K28="STALE","STALE",IF(K28="NO VERDICT","NO VERDICT",IF(K28&lt;&gt;"VALID","NOT RUN",IF(OR(NOT(ISNUMBER(I28)),I28&lt;&gt;H28,NOT(ISNUMBER(J28)),J28&lt;0,M28=""),"NO VERDICT",IF(J28&lt;=1,"PASS","FAIL")))))</x:f>
        <x:v>NOT RUN</x:v>
      </x:c>
      <x:c r="M28" s="11"/>
      <x:c r="N28" s="9" t="str">
        <x:v>Choose a second documented knob setting or independently recorded strike. Use actual source settings; do not invent hardware accent behavior by scaling one WAV. Missing source stays unscored.</x:v>
      </x:c>
    </x:row>
    <x:row r="29" ht="72" customHeight="1">
      <x:c r="A29" s="2" t="str">
        <x:v>D13A</x:v>
      </x:c>
      <x:c r="B29" s="2" t="str">
        <x:v>Drums</x:v>
      </x:c>
      <x:c r="C29" s="9" t="str">
        <x:v>Cowbell / anchor</x:v>
      </x:c>
      <x:c r="D29" s="9" t="str">
        <x:v>First 32</x:v>
      </x:c>
      <x:c r="E29" s="2" t="str">
        <x:v>Development</x:v>
      </x:c>
      <x:c r="F29" s="9" t="str">
        <x:v>Fischer hardware sample</x:v>
      </x:c>
      <x:c r="G29" s="9" t="str">
        <x:v>Partial balance; unwanted difference tone; decay</x:v>
      </x:c>
      <x:c r="H29" s="12" t="n">
        <x:v>3</x:v>
      </x:c>
      <x:c r="I29" s="13"/>
      <x:c r="J29" s="14"/>
      <x:c r="K29" s="10" t="str">
        <x:v>NOT RUN</x:v>
      </x:c>
      <x:c r="L29" s="2" t="str">
        <x:f>IF(K29="STALE","STALE",IF(K29="NO VERDICT","NO VERDICT",IF(K29&lt;&gt;"VALID","NOT RUN",IF(OR(NOT(ISNUMBER(I29)),I29&lt;&gt;H29,NOT(ISNUMBER(J29)),J29&lt;0,M29=""),"NO VERDICT",IF(J29&lt;=1,"PASS","FAIL")))))</x:f>
        <x:v>NOT RUN</x:v>
      </x:c>
      <x:c r="M29" s="11"/>
      <x:c r="N29" s="9" t="str">
        <x:v>CB alone at the documented reference setting. Preserve the full tail. Measure dry audio at original gain and a separate level-matched copy. Record source filename and any pair selector.</x:v>
      </x:c>
    </x:row>
    <x:row r="30" ht="72" customHeight="1">
      <x:c r="A30" s="2" t="str">
        <x:v>D13B</x:v>
      </x:c>
      <x:c r="B30" s="2" t="str">
        <x:v>Drums</x:v>
      </x:c>
      <x:c r="C30" s="9" t="str">
        <x:v>Cowbell / variation</x:v>
      </x:c>
      <x:c r="D30" s="9" t="str">
        <x:v>Holdout 20</x:v>
      </x:c>
      <x:c r="E30" s="2" t="str">
        <x:v>Holdout</x:v>
      </x:c>
      <x:c r="F30" s="9" t="str">
        <x:v>Second documented hardware setting</x:v>
      </x:c>
      <x:c r="G30" s="9" t="str">
        <x:v>Partial balance; unwanted difference tone; decay</x:v>
      </x:c>
      <x:c r="H30" s="12" t="n">
        <x:v>3</x:v>
      </x:c>
      <x:c r="I30" s="13"/>
      <x:c r="J30" s="14"/>
      <x:c r="K30" s="10" t="str">
        <x:v>NOT RUN</x:v>
      </x:c>
      <x:c r="L30" s="2" t="str">
        <x:f>IF(K30="STALE","STALE",IF(K30="NO VERDICT","NO VERDICT",IF(K30&lt;&gt;"VALID","NOT RUN",IF(OR(NOT(ISNUMBER(I30)),I30&lt;&gt;H30,NOT(ISNUMBER(J30)),J30&lt;0,M30=""),"NO VERDICT",IF(J30&lt;=1,"PASS","FAIL")))))</x:f>
        <x:v>NOT RUN</x:v>
      </x:c>
      <x:c r="M30" s="11"/>
      <x:c r="N30" s="9" t="str">
        <x:v>Reserve an unseen documented setting or strike from a qualifying corpus. Seal the exact file and control vector before tuning. If unavailable, leave this case unscored.</x:v>
      </x:c>
    </x:row>
    <x:row r="31" ht="72" customHeight="1">
      <x:c r="A31" s="2" t="str">
        <x:v>D14A</x:v>
      </x:c>
      <x:c r="B31" s="2" t="str">
        <x:v>Drums</x:v>
      </x:c>
      <x:c r="C31" s="9" t="str">
        <x:v>Cymbal / anchor</x:v>
      </x:c>
      <x:c r="D31" s="9" t="str">
        <x:v>First 32</x:v>
      </x:c>
      <x:c r="E31" s="2" t="str">
        <x:v>Development</x:v>
      </x:c>
      <x:c r="F31" s="9" t="str">
        <x:v>Fischer hardware sample</x:v>
      </x:c>
      <x:c r="G31" s="9" t="str">
        <x:v>Band energy; band decay; total decay</x:v>
      </x:c>
      <x:c r="H31" s="12" t="n">
        <x:v>3</x:v>
      </x:c>
      <x:c r="I31" s="13"/>
      <x:c r="J31" s="14"/>
      <x:c r="K31" s="10" t="str">
        <x:v>NOT RUN</x:v>
      </x:c>
      <x:c r="L31" s="2" t="str">
        <x:f>IF(K31="STALE","STALE",IF(K31="NO VERDICT","NO VERDICT",IF(K31&lt;&gt;"VALID","NOT RUN",IF(OR(NOT(ISNUMBER(I31)),I31&lt;&gt;H31,NOT(ISNUMBER(J31)),J31&lt;0,M31=""),"NO VERDICT",IF(J31&lt;=1,"PASS","FAIL")))))</x:f>
        <x:v>NOT RUN</x:v>
      </x:c>
      <x:c r="M31" s="11"/>
      <x:c r="N31" s="9" t="str">
        <x:v>CY alone at the documented reference setting. Preserve the full tail. Measure dry audio at original gain and a separate level-matched copy. Record source filename and any pair selector.</x:v>
      </x:c>
    </x:row>
    <x:row r="32" ht="72" customHeight="1">
      <x:c r="A32" s="2" t="str">
        <x:v>D14B</x:v>
      </x:c>
      <x:c r="B32" s="2" t="str">
        <x:v>Drums</x:v>
      </x:c>
      <x:c r="C32" s="9" t="str">
        <x:v>Cymbal / variation</x:v>
      </x:c>
      <x:c r="D32" s="9" t="str">
        <x:v>Expansion 48</x:v>
      </x:c>
      <x:c r="E32" s="2" t="str">
        <x:v>Development</x:v>
      </x:c>
      <x:c r="F32" s="9" t="str">
        <x:v>Second documented hardware setting</x:v>
      </x:c>
      <x:c r="G32" s="9" t="str">
        <x:v>Band energy; band decay; total decay</x:v>
      </x:c>
      <x:c r="H32" s="12" t="n">
        <x:v>3</x:v>
      </x:c>
      <x:c r="I32" s="13"/>
      <x:c r="J32" s="14"/>
      <x:c r="K32" s="10" t="str">
        <x:v>NOT RUN</x:v>
      </x:c>
      <x:c r="L32" s="2" t="str">
        <x:f>IF(K32="STALE","STALE",IF(K32="NO VERDICT","NO VERDICT",IF(K32&lt;&gt;"VALID","NOT RUN",IF(OR(NOT(ISNUMBER(I32)),I32&lt;&gt;H32,NOT(ISNUMBER(J32)),J32&lt;0,M32=""),"NO VERDICT",IF(J32&lt;=1,"PASS","FAIL")))))</x:f>
        <x:v>NOT RUN</x:v>
      </x:c>
      <x:c r="M32" s="11"/>
      <x:c r="N32" s="9" t="str">
        <x:v>Choose a second documented knob setting or independently recorded strike. Use actual source settings; do not invent hardware accent behavior by scaling one WAV. Missing source stays unscored.</x:v>
      </x:c>
    </x:row>
    <x:row r="33" ht="72" customHeight="1">
      <x:c r="A33" s="2" t="str">
        <x:v>D15A</x:v>
      </x:c>
      <x:c r="B33" s="2" t="str">
        <x:v>Drums</x:v>
      </x:c>
      <x:c r="C33" s="9" t="str">
        <x:v>Open hat / anchor</x:v>
      </x:c>
      <x:c r="D33" s="9" t="str">
        <x:v>First 32</x:v>
      </x:c>
      <x:c r="E33" s="2" t="str">
        <x:v>Development</x:v>
      </x:c>
      <x:c r="F33" s="9" t="str">
        <x:v>Fischer hardware sample</x:v>
      </x:c>
      <x:c r="G33" s="9" t="str">
        <x:v>Band energy; attack; decay</x:v>
      </x:c>
      <x:c r="H33" s="12" t="n">
        <x:v>3</x:v>
      </x:c>
      <x:c r="I33" s="13"/>
      <x:c r="J33" s="14"/>
      <x:c r="K33" s="10" t="str">
        <x:v>NOT RUN</x:v>
      </x:c>
      <x:c r="L33" s="2" t="str">
        <x:f>IF(K33="STALE","STALE",IF(K33="NO VERDICT","NO VERDICT",IF(K33&lt;&gt;"VALID","NOT RUN",IF(OR(NOT(ISNUMBER(I33)),I33&lt;&gt;H33,NOT(ISNUMBER(J33)),J33&lt;0,M33=""),"NO VERDICT",IF(J33&lt;=1,"PASS","FAIL")))))</x:f>
        <x:v>NOT RUN</x:v>
      </x:c>
      <x:c r="M33" s="11"/>
      <x:c r="N33" s="9" t="str">
        <x:v>OH alone at the documented reference setting. Preserve the full tail. Measure dry audio at original gain and a separate level-matched copy. Record source filename and any pair selector.</x:v>
      </x:c>
    </x:row>
    <x:row r="34" ht="72" customHeight="1">
      <x:c r="A34" s="2" t="str">
        <x:v>D15B</x:v>
      </x:c>
      <x:c r="B34" s="2" t="str">
        <x:v>Drums</x:v>
      </x:c>
      <x:c r="C34" s="9" t="str">
        <x:v>Open hat / variation</x:v>
      </x:c>
      <x:c r="D34" s="9" t="str">
        <x:v>Holdout 20</x:v>
      </x:c>
      <x:c r="E34" s="2" t="str">
        <x:v>Holdout</x:v>
      </x:c>
      <x:c r="F34" s="9" t="str">
        <x:v>Second documented hardware setting</x:v>
      </x:c>
      <x:c r="G34" s="9" t="str">
        <x:v>Band energy; attack; decay</x:v>
      </x:c>
      <x:c r="H34" s="12" t="n">
        <x:v>3</x:v>
      </x:c>
      <x:c r="I34" s="13"/>
      <x:c r="J34" s="14"/>
      <x:c r="K34" s="10" t="str">
        <x:v>NOT RUN</x:v>
      </x:c>
      <x:c r="L34" s="2" t="str">
        <x:f>IF(K34="STALE","STALE",IF(K34="NO VERDICT","NO VERDICT",IF(K34&lt;&gt;"VALID","NOT RUN",IF(OR(NOT(ISNUMBER(I34)),I34&lt;&gt;H34,NOT(ISNUMBER(J34)),J34&lt;0,M34=""),"NO VERDICT",IF(J34&lt;=1,"PASS","FAIL")))))</x:f>
        <x:v>NOT RUN</x:v>
      </x:c>
      <x:c r="M34" s="11"/>
      <x:c r="N34" s="9" t="str">
        <x:v>Reserve an unseen documented setting or strike from a qualifying corpus. Seal the exact file and control vector before tuning. If unavailable, leave this case unscored.</x:v>
      </x:c>
    </x:row>
    <x:row r="35" ht="72" customHeight="1">
      <x:c r="A35" s="2" t="str">
        <x:v>D16A</x:v>
      </x:c>
      <x:c r="B35" s="2" t="str">
        <x:v>Drums</x:v>
      </x:c>
      <x:c r="C35" s="9" t="str">
        <x:v>Closed hat / anchor</x:v>
      </x:c>
      <x:c r="D35" s="9" t="str">
        <x:v>First 32</x:v>
      </x:c>
      <x:c r="E35" s="2" t="str">
        <x:v>Development</x:v>
      </x:c>
      <x:c r="F35" s="9" t="str">
        <x:v>Fischer hardware sample</x:v>
      </x:c>
      <x:c r="G35" s="9" t="str">
        <x:v>Band energy; attack; decay</x:v>
      </x:c>
      <x:c r="H35" s="12" t="n">
        <x:v>3</x:v>
      </x:c>
      <x:c r="I35" s="13"/>
      <x:c r="J35" s="14"/>
      <x:c r="K35" s="10" t="str">
        <x:v>NOT RUN</x:v>
      </x:c>
      <x:c r="L35" s="2" t="str">
        <x:f>IF(K35="STALE","STALE",IF(K35="NO VERDICT","NO VERDICT",IF(K35&lt;&gt;"VALID","NOT RUN",IF(OR(NOT(ISNUMBER(I35)),I35&lt;&gt;H35,NOT(ISNUMBER(J35)),J35&lt;0,M35=""),"NO VERDICT",IF(J35&lt;=1,"PASS","FAIL")))))</x:f>
        <x:v>NOT RUN</x:v>
      </x:c>
      <x:c r="M35" s="11"/>
      <x:c r="N35" s="9" t="str">
        <x:v>CH alone at the documented reference setting. Preserve the full tail. Measure dry audio at original gain and a separate level-matched copy. Record source filename and any pair selector.</x:v>
      </x:c>
    </x:row>
    <x:row r="36" ht="72" customHeight="1">
      <x:c r="A36" s="2" t="str">
        <x:v>D16B</x:v>
      </x:c>
      <x:c r="B36" s="2" t="str">
        <x:v>Drums</x:v>
      </x:c>
      <x:c r="C36" s="9" t="str">
        <x:v>Closed hat / variation</x:v>
      </x:c>
      <x:c r="D36" s="9" t="str">
        <x:v>Holdout 20</x:v>
      </x:c>
      <x:c r="E36" s="2" t="str">
        <x:v>Holdout</x:v>
      </x:c>
      <x:c r="F36" s="9" t="str">
        <x:v>Second documented hardware setting</x:v>
      </x:c>
      <x:c r="G36" s="9" t="str">
        <x:v>Band energy; attack; decay</x:v>
      </x:c>
      <x:c r="H36" s="12" t="n">
        <x:v>3</x:v>
      </x:c>
      <x:c r="I36" s="13"/>
      <x:c r="J36" s="14"/>
      <x:c r="K36" s="10" t="str">
        <x:v>NOT RUN</x:v>
      </x:c>
      <x:c r="L36" s="2" t="str">
        <x:f>IF(K36="STALE","STALE",IF(K36="NO VERDICT","NO VERDICT",IF(K36&lt;&gt;"VALID","NOT RUN",IF(OR(NOT(ISNUMBER(I36)),I36&lt;&gt;H36,NOT(ISNUMBER(J36)),J36&lt;0,M36=""),"NO VERDICT",IF(J36&lt;=1,"PASS","FAIL")))))</x:f>
        <x:v>NOT RUN</x:v>
      </x:c>
      <x:c r="M36" s="11"/>
      <x:c r="N36" s="9" t="str">
        <x:v>Reserve an unseen documented setting or strike from a qualifying corpus. Seal the exact file and control vector before tuning. If unavailable, leave this case unscored.</x:v>
      </x:c>
    </x:row>
    <x:row r="37" ht="72" customHeight="1">
      <x:c r="A37" s="2" t="str">
        <x:v>M1A</x:v>
      </x:c>
      <x:c r="B37" s="2" t="str">
        <x:v>Mono</x:v>
      </x:c>
      <x:c r="C37" s="9" t="str">
        <x:v>Round bass / anchor</x:v>
      </x:c>
      <x:c r="D37" s="9" t="str">
        <x:v>First 32</x:v>
      </x:c>
      <x:c r="E37" s="2" t="str">
        <x:v>Development</x:v>
      </x:c>
      <x:c r="F37" s="9" t="str">
        <x:v>Mini V3; Model D cross-check</x:v>
      </x:c>
      <x:c r="G37" s="9" t="str">
        <x:v>Fundamental/harmonics; envelope; bass level</x:v>
      </x:c>
      <x:c r="H37" s="12" t="n">
        <x:v>3</x:v>
      </x:c>
      <x:c r="I37" s="13"/>
      <x:c r="J37" s="14"/>
      <x:c r="K37" s="10" t="str">
        <x:v>NOT RUN</x:v>
      </x:c>
      <x:c r="L37" s="2" t="str">
        <x:f>IF(K37="STALE","STALE",IF(K37="NO VERDICT","NO VERDICT",IF(K37&lt;&gt;"VALID","NOT RUN",IF(OR(NOT(ISNUMBER(I37)),I37&lt;&gt;H37,NOT(ISNUMBER(J37)),J37&lt;0,M37=""),"NO VERDICT",IF(J37&lt;=1,"PASS","FAIL")))))</x:f>
        <x:v>NOT RUN</x:v>
      </x:c>
      <x:c r="M37" s="11"/>
      <x:c r="N37" s="9" t="str">
        <x:v>Base MIDI note 36. Single saw plus a quieter octave oscillator; low resonance; short filter envelope. Dry 4–8 s phrase plus complete release. Match measured pitch/cutoff and envelope timing, not normalized knob positions.</x:v>
      </x:c>
    </x:row>
    <x:row r="38" ht="72" customHeight="1">
      <x:c r="A38" s="2" t="str">
        <x:v>M1B</x:v>
      </x:c>
      <x:c r="B38" s="2" t="str">
        <x:v>Mono</x:v>
      </x:c>
      <x:c r="C38" s="9" t="str">
        <x:v>Round bass / lower / darker</x:v>
      </x:c>
      <x:c r="D38" s="9" t="str">
        <x:v>Expansion 48</x:v>
      </x:c>
      <x:c r="E38" s="2" t="str">
        <x:v>Development</x:v>
      </x:c>
      <x:c r="F38" s="9" t="str">
        <x:v>Mini V3; Model D cross-check</x:v>
      </x:c>
      <x:c r="G38" s="9" t="str">
        <x:v>Fundamental/harmonics; envelope; bass level</x:v>
      </x:c>
      <x:c r="H38" s="12" t="n">
        <x:v>3</x:v>
      </x:c>
      <x:c r="I38" s="13"/>
      <x:c r="J38" s="14"/>
      <x:c r="K38" s="10" t="str">
        <x:v>NOT RUN</x:v>
      </x:c>
      <x:c r="L38" s="2" t="str">
        <x:f>IF(K38="STALE","STALE",IF(K38="NO VERDICT","NO VERDICT",IF(K38&lt;&gt;"VALID","NOT RUN",IF(OR(NOT(ISNUMBER(I38)),I38&lt;&gt;H38,NOT(ISNUMBER(J38)),J38&lt;0,M38=""),"NO VERDICT",IF(J38&lt;=1,"PASS","FAIL")))))</x:f>
        <x:v>NOT RUN</x:v>
      </x:c>
      <x:c r="M38" s="11"/>
      <x:c r="N38" s="9" t="str">
        <x:v>Base MIDI note 24. Single saw plus a quieter octave oscillator; low resonance; short filter envelope. Dry 4–8 s phrase plus complete release. Match measured pitch/cutoff and envelope timing, not normalized knob positions.</x:v>
      </x:c>
    </x:row>
    <x:row r="39" ht="72" customHeight="1">
      <x:c r="A39" s="2" t="str">
        <x:v>M1C</x:v>
      </x:c>
      <x:c r="B39" s="2" t="str">
        <x:v>Mono</x:v>
      </x:c>
      <x:c r="C39" s="9" t="str">
        <x:v>Round bass / higher / brighter</x:v>
      </x:c>
      <x:c r="D39" s="9" t="str">
        <x:v>Expansion 48</x:v>
      </x:c>
      <x:c r="E39" s="2" t="str">
        <x:v>Development</x:v>
      </x:c>
      <x:c r="F39" s="9" t="str">
        <x:v>Mini V3; Model D cross-check</x:v>
      </x:c>
      <x:c r="G39" s="9" t="str">
        <x:v>Fundamental/harmonics; envelope; bass level</x:v>
      </x:c>
      <x:c r="H39" s="12" t="n">
        <x:v>3</x:v>
      </x:c>
      <x:c r="I39" s="13"/>
      <x:c r="J39" s="14"/>
      <x:c r="K39" s="10" t="str">
        <x:v>NOT RUN</x:v>
      </x:c>
      <x:c r="L39" s="2" t="str">
        <x:f>IF(K39="STALE","STALE",IF(K39="NO VERDICT","NO VERDICT",IF(K39&lt;&gt;"VALID","NOT RUN",IF(OR(NOT(ISNUMBER(I39)),I39&lt;&gt;H39,NOT(ISNUMBER(J39)),J39&lt;0,M39=""),"NO VERDICT",IF(J39&lt;=1,"PASS","FAIL")))))</x:f>
        <x:v>NOT RUN</x:v>
      </x:c>
      <x:c r="M39" s="11"/>
      <x:c r="N39" s="9" t="str">
        <x:v>Base MIDI note 48. Single saw plus a quieter octave oscillator; low resonance; short filter envelope. Dry 4–8 s phrase plus complete release. Match measured pitch/cutoff and envelope timing, not normalized knob positions.</x:v>
      </x:c>
    </x:row>
    <x:row r="40" ht="72" customHeight="1">
      <x:c r="A40" s="2" t="str">
        <x:v>M1D</x:v>
      </x:c>
      <x:c r="B40" s="2" t="str">
        <x:v>Mono</x:v>
      </x:c>
      <x:c r="C40" s="9" t="str">
        <x:v>Round bass / new gesture</x:v>
      </x:c>
      <x:c r="D40" s="9" t="str">
        <x:v>Holdout 20</x:v>
      </x:c>
      <x:c r="E40" s="2" t="str">
        <x:v>Holdout</x:v>
      </x:c>
      <x:c r="F40" s="9" t="str">
        <x:v>Mini V3; Model D cross-check</x:v>
      </x:c>
      <x:c r="G40" s="9" t="str">
        <x:v>Fundamental/harmonics; envelope; bass level</x:v>
      </x:c>
      <x:c r="H40" s="12" t="n">
        <x:v>3</x:v>
      </x:c>
      <x:c r="I40" s="13"/>
      <x:c r="J40" s="14"/>
      <x:c r="K40" s="10" t="str">
        <x:v>NOT RUN</x:v>
      </x:c>
      <x:c r="L40" s="2" t="str">
        <x:f>IF(K40="STALE","STALE",IF(K40="NO VERDICT","NO VERDICT",IF(K40&lt;&gt;"VALID","NOT RUN",IF(OR(NOT(ISNUMBER(I40)),I40&lt;&gt;H40,NOT(ISNUMBER(J40)),J40&lt;0,M40=""),"NO VERDICT",IF(J40&lt;=1,"PASS","FAIL")))))</x:f>
        <x:v>NOT RUN</x:v>
      </x:c>
      <x:c r="M40" s="11"/>
      <x:c r="N40" s="9" t="str">
        <x:v>Reserve unseen note/control trajectories within this family. Fix the mapping before tuning; reveal detailed results only at a release evaluation.</x:v>
      </x:c>
    </x:row>
    <x:row r="41" ht="72" customHeight="1">
      <x:c r="A41" s="2" t="str">
        <x:v>M2A</x:v>
      </x:c>
      <x:c r="B41" s="2" t="str">
        <x:v>Mono</x:v>
      </x:c>
      <x:c r="C41" s="9" t="str">
        <x:v>Driven bass / anchor</x:v>
      </x:c>
      <x:c r="D41" s="9" t="str">
        <x:v>First 32</x:v>
      </x:c>
      <x:c r="E41" s="2" t="str">
        <x:v>Development</x:v>
      </x:c>
      <x:c r="F41" s="9" t="str">
        <x:v>Mini V3; Model D cross-check</x:v>
      </x:c>
      <x:c r="G41" s="9" t="str">
        <x:v>Bass retention; harmonic distribution; envelope</x:v>
      </x:c>
      <x:c r="H41" s="12" t="n">
        <x:v>3</x:v>
      </x:c>
      <x:c r="I41" s="13"/>
      <x:c r="J41" s="14"/>
      <x:c r="K41" s="10" t="str">
        <x:v>NOT RUN</x:v>
      </x:c>
      <x:c r="L41" s="2" t="str">
        <x:f>IF(K41="STALE","STALE",IF(K41="NO VERDICT","NO VERDICT",IF(K41&lt;&gt;"VALID","NOT RUN",IF(OR(NOT(ISNUMBER(I41)),I41&lt;&gt;H41,NOT(ISNUMBER(J41)),J41&lt;0,M41=""),"NO VERDICT",IF(J41&lt;=1,"PASS","FAIL")))))</x:f>
        <x:v>NOT RUN</x:v>
      </x:c>
      <x:c r="M41" s="11"/>
      <x:c r="N41" s="9" t="str">
        <x:v>Base MIDI note 36. Three oscillators at fixed offsets; raise mixer drive at a fixed output level. Dry 4–8 s phrase plus complete release. Match measured pitch/cutoff and envelope timing, not normalized knob positions.</x:v>
      </x:c>
    </x:row>
    <x:row r="42" ht="72" customHeight="1">
      <x:c r="A42" s="2" t="str">
        <x:v>M2B</x:v>
      </x:c>
      <x:c r="B42" s="2" t="str">
        <x:v>Mono</x:v>
      </x:c>
      <x:c r="C42" s="9" t="str">
        <x:v>Driven bass / lower / darker</x:v>
      </x:c>
      <x:c r="D42" s="9" t="str">
        <x:v>Expansion 48</x:v>
      </x:c>
      <x:c r="E42" s="2" t="str">
        <x:v>Development</x:v>
      </x:c>
      <x:c r="F42" s="9" t="str">
        <x:v>Mini V3; Model D cross-check</x:v>
      </x:c>
      <x:c r="G42" s="9" t="str">
        <x:v>Bass retention; harmonic distribution; envelope</x:v>
      </x:c>
      <x:c r="H42" s="12" t="n">
        <x:v>3</x:v>
      </x:c>
      <x:c r="I42" s="13"/>
      <x:c r="J42" s="14"/>
      <x:c r="K42" s="10" t="str">
        <x:v>NOT RUN</x:v>
      </x:c>
      <x:c r="L42" s="2" t="str">
        <x:f>IF(K42="STALE","STALE",IF(K42="NO VERDICT","NO VERDICT",IF(K42&lt;&gt;"VALID","NOT RUN",IF(OR(NOT(ISNUMBER(I42)),I42&lt;&gt;H42,NOT(ISNUMBER(J42)),J42&lt;0,M42=""),"NO VERDICT",IF(J42&lt;=1,"PASS","FAIL")))))</x:f>
        <x:v>NOT RUN</x:v>
      </x:c>
      <x:c r="M42" s="11"/>
      <x:c r="N42" s="9" t="str">
        <x:v>Base MIDI note 24. Three oscillators at fixed offsets; raise mixer drive at a fixed output level. Dry 4–8 s phrase plus complete release. Match measured pitch/cutoff and envelope timing, not normalized knob positions.</x:v>
      </x:c>
    </x:row>
    <x:row r="43" ht="72" customHeight="1">
      <x:c r="A43" s="2" t="str">
        <x:v>M2C</x:v>
      </x:c>
      <x:c r="B43" s="2" t="str">
        <x:v>Mono</x:v>
      </x:c>
      <x:c r="C43" s="9" t="str">
        <x:v>Driven bass / higher / brighter</x:v>
      </x:c>
      <x:c r="D43" s="9" t="str">
        <x:v>Expansion 48</x:v>
      </x:c>
      <x:c r="E43" s="2" t="str">
        <x:v>Development</x:v>
      </x:c>
      <x:c r="F43" s="9" t="str">
        <x:v>Mini V3; Model D cross-check</x:v>
      </x:c>
      <x:c r="G43" s="9" t="str">
        <x:v>Bass retention; harmonic distribution; envelope</x:v>
      </x:c>
      <x:c r="H43" s="12" t="n">
        <x:v>3</x:v>
      </x:c>
      <x:c r="I43" s="13"/>
      <x:c r="J43" s="14"/>
      <x:c r="K43" s="10" t="str">
        <x:v>NOT RUN</x:v>
      </x:c>
      <x:c r="L43" s="2" t="str">
        <x:f>IF(K43="STALE","STALE",IF(K43="NO VERDICT","NO VERDICT",IF(K43&lt;&gt;"VALID","NOT RUN",IF(OR(NOT(ISNUMBER(I43)),I43&lt;&gt;H43,NOT(ISNUMBER(J43)),J43&lt;0,M43=""),"NO VERDICT",IF(J43&lt;=1,"PASS","FAIL")))))</x:f>
        <x:v>NOT RUN</x:v>
      </x:c>
      <x:c r="M43" s="11"/>
      <x:c r="N43" s="9" t="str">
        <x:v>Base MIDI note 48. Three oscillators at fixed offsets; raise mixer drive at a fixed output level. Dry 4–8 s phrase plus complete release. Match measured pitch/cutoff and envelope timing, not normalized knob positions.</x:v>
      </x:c>
    </x:row>
    <x:row r="44" ht="72" customHeight="1">
      <x:c r="A44" s="2" t="str">
        <x:v>M2D</x:v>
      </x:c>
      <x:c r="B44" s="2" t="str">
        <x:v>Mono</x:v>
      </x:c>
      <x:c r="C44" s="9" t="str">
        <x:v>Driven bass / new gesture</x:v>
      </x:c>
      <x:c r="D44" s="9" t="str">
        <x:v>Expansion 48</x:v>
      </x:c>
      <x:c r="E44" s="2" t="str">
        <x:v>Development</x:v>
      </x:c>
      <x:c r="F44" s="9" t="str">
        <x:v>Mini V3; Model D cross-check</x:v>
      </x:c>
      <x:c r="G44" s="9" t="str">
        <x:v>Bass retention; harmonic distribution; envelope</x:v>
      </x:c>
      <x:c r="H44" s="12" t="n">
        <x:v>3</x:v>
      </x:c>
      <x:c r="I44" s="13"/>
      <x:c r="J44" s="14"/>
      <x:c r="K44" s="10" t="str">
        <x:v>NOT RUN</x:v>
      </x:c>
      <x:c r="L44" s="2" t="str">
        <x:f>IF(K44="STALE","STALE",IF(K44="NO VERDICT","NO VERDICT",IF(K44&lt;&gt;"VALID","NOT RUN",IF(OR(NOT(ISNUMBER(I44)),I44&lt;&gt;H44,NOT(ISNUMBER(J44)),J44&lt;0,M44=""),"NO VERDICT",IF(J44&lt;=1,"PASS","FAIL")))))</x:f>
        <x:v>NOT RUN</x:v>
      </x:c>
      <x:c r="M44" s="11"/>
      <x:c r="N44" s="9" t="str">
        <x:v>Base MIDI note 36. Three oscillators at fixed offsets; raise mixer drive at a fixed output level. Dry 4–8 s phrase plus complete release. Match measured pitch/cutoff and envelope timing, not normalized knob positions.</x:v>
      </x:c>
    </x:row>
    <x:row r="45" ht="72" customHeight="1">
      <x:c r="A45" s="2" t="str">
        <x:v>M3A</x:v>
      </x:c>
      <x:c r="B45" s="2" t="str">
        <x:v>Mono</x:v>
      </x:c>
      <x:c r="C45" s="9" t="str">
        <x:v>Pluck bass / anchor</x:v>
      </x:c>
      <x:c r="D45" s="9" t="str">
        <x:v>First 32</x:v>
      </x:c>
      <x:c r="E45" s="2" t="str">
        <x:v>Development</x:v>
      </x:c>
      <x:c r="F45" s="9" t="str">
        <x:v>Mini V3; Model D cross-check</x:v>
      </x:c>
      <x:c r="G45" s="9" t="str">
        <x:v>Attack; pitch; decay</x:v>
      </x:c>
      <x:c r="H45" s="12" t="n">
        <x:v>3</x:v>
      </x:c>
      <x:c r="I45" s="13"/>
      <x:c r="J45" s="14"/>
      <x:c r="K45" s="10" t="str">
        <x:v>NOT RUN</x:v>
      </x:c>
      <x:c r="L45" s="2" t="str">
        <x:f>IF(K45="STALE","STALE",IF(K45="NO VERDICT","NO VERDICT",IF(K45&lt;&gt;"VALID","NOT RUN",IF(OR(NOT(ISNUMBER(I45)),I45&lt;&gt;H45,NOT(ISNUMBER(J45)),J45&lt;0,M45=""),"NO VERDICT",IF(J45&lt;=1,"PASS","FAIL")))))</x:f>
        <x:v>NOT RUN</x:v>
      </x:c>
      <x:c r="M45" s="11"/>
      <x:c r="N45" s="9" t="str">
        <x:v>Base MIDI note 43. Short amp and filter envelopes; two octaves of staccato notes. Dry 4–8 s phrase plus complete release. Match measured pitch/cutoff and envelope timing, not normalized knob positions.</x:v>
      </x:c>
    </x:row>
    <x:row r="46" ht="72" customHeight="1">
      <x:c r="A46" s="2" t="str">
        <x:v>M3B</x:v>
      </x:c>
      <x:c r="B46" s="2" t="str">
        <x:v>Mono</x:v>
      </x:c>
      <x:c r="C46" s="9" t="str">
        <x:v>Pluck bass / lower / darker</x:v>
      </x:c>
      <x:c r="D46" s="9" t="str">
        <x:v>Expansion 48</x:v>
      </x:c>
      <x:c r="E46" s="2" t="str">
        <x:v>Development</x:v>
      </x:c>
      <x:c r="F46" s="9" t="str">
        <x:v>Mini V3; Model D cross-check</x:v>
      </x:c>
      <x:c r="G46" s="9" t="str">
        <x:v>Attack; pitch; decay</x:v>
      </x:c>
      <x:c r="H46" s="12" t="n">
        <x:v>3</x:v>
      </x:c>
      <x:c r="I46" s="13"/>
      <x:c r="J46" s="14"/>
      <x:c r="K46" s="10" t="str">
        <x:v>NOT RUN</x:v>
      </x:c>
      <x:c r="L46" s="2" t="str">
        <x:f>IF(K46="STALE","STALE",IF(K46="NO VERDICT","NO VERDICT",IF(K46&lt;&gt;"VALID","NOT RUN",IF(OR(NOT(ISNUMBER(I46)),I46&lt;&gt;H46,NOT(ISNUMBER(J46)),J46&lt;0,M46=""),"NO VERDICT",IF(J46&lt;=1,"PASS","FAIL")))))</x:f>
        <x:v>NOT RUN</x:v>
      </x:c>
      <x:c r="M46" s="11"/>
      <x:c r="N46" s="9" t="str">
        <x:v>Base MIDI note 31. Short amp and filter envelopes; two octaves of staccato notes. Dry 4–8 s phrase plus complete release. Match measured pitch/cutoff and envelope timing, not normalized knob positions.</x:v>
      </x:c>
    </x:row>
    <x:row r="47" ht="72" customHeight="1">
      <x:c r="A47" s="2" t="str">
        <x:v>M3C</x:v>
      </x:c>
      <x:c r="B47" s="2" t="str">
        <x:v>Mono</x:v>
      </x:c>
      <x:c r="C47" s="9" t="str">
        <x:v>Pluck bass / higher / brighter</x:v>
      </x:c>
      <x:c r="D47" s="9" t="str">
        <x:v>Expansion 48</x:v>
      </x:c>
      <x:c r="E47" s="2" t="str">
        <x:v>Development</x:v>
      </x:c>
      <x:c r="F47" s="9" t="str">
        <x:v>Mini V3; Model D cross-check</x:v>
      </x:c>
      <x:c r="G47" s="9" t="str">
        <x:v>Attack; pitch; decay</x:v>
      </x:c>
      <x:c r="H47" s="12" t="n">
        <x:v>3</x:v>
      </x:c>
      <x:c r="I47" s="13"/>
      <x:c r="J47" s="14"/>
      <x:c r="K47" s="10" t="str">
        <x:v>NOT RUN</x:v>
      </x:c>
      <x:c r="L47" s="2" t="str">
        <x:f>IF(K47="STALE","STALE",IF(K47="NO VERDICT","NO VERDICT",IF(K47&lt;&gt;"VALID","NOT RUN",IF(OR(NOT(ISNUMBER(I47)),I47&lt;&gt;H47,NOT(ISNUMBER(J47)),J47&lt;0,M47=""),"NO VERDICT",IF(J47&lt;=1,"PASS","FAIL")))))</x:f>
        <x:v>NOT RUN</x:v>
      </x:c>
      <x:c r="M47" s="11"/>
      <x:c r="N47" s="9" t="str">
        <x:v>Base MIDI note 55. Short amp and filter envelopes; two octaves of staccato notes. Dry 4–8 s phrase plus complete release. Match measured pitch/cutoff and envelope timing, not normalized knob positions.</x:v>
      </x:c>
    </x:row>
    <x:row r="48" ht="72" customHeight="1">
      <x:c r="A48" s="2" t="str">
        <x:v>M3D</x:v>
      </x:c>
      <x:c r="B48" s="2" t="str">
        <x:v>Mono</x:v>
      </x:c>
      <x:c r="C48" s="9" t="str">
        <x:v>Pluck bass / new gesture</x:v>
      </x:c>
      <x:c r="D48" s="9" t="str">
        <x:v>Holdout 20</x:v>
      </x:c>
      <x:c r="E48" s="2" t="str">
        <x:v>Holdout</x:v>
      </x:c>
      <x:c r="F48" s="9" t="str">
        <x:v>Mini V3; Model D cross-check</x:v>
      </x:c>
      <x:c r="G48" s="9" t="str">
        <x:v>Attack; pitch; decay</x:v>
      </x:c>
      <x:c r="H48" s="12" t="n">
        <x:v>3</x:v>
      </x:c>
      <x:c r="I48" s="13"/>
      <x:c r="J48" s="14"/>
      <x:c r="K48" s="10" t="str">
        <x:v>NOT RUN</x:v>
      </x:c>
      <x:c r="L48" s="2" t="str">
        <x:f>IF(K48="STALE","STALE",IF(K48="NO VERDICT","NO VERDICT",IF(K48&lt;&gt;"VALID","NOT RUN",IF(OR(NOT(ISNUMBER(I48)),I48&lt;&gt;H48,NOT(ISNUMBER(J48)),J48&lt;0,M48=""),"NO VERDICT",IF(J48&lt;=1,"PASS","FAIL")))))</x:f>
        <x:v>NOT RUN</x:v>
      </x:c>
      <x:c r="M48" s="11"/>
      <x:c r="N48" s="9" t="str">
        <x:v>Reserve unseen note/control trajectories within this family. Fix the mapping before tuning; reveal detailed results only at a release evaluation.</x:v>
      </x:c>
    </x:row>
    <x:row r="49" ht="72" customHeight="1">
      <x:c r="A49" s="2" t="str">
        <x:v>M4A</x:v>
      </x:c>
      <x:c r="B49" s="2" t="str">
        <x:v>Mono</x:v>
      </x:c>
      <x:c r="C49" s="9" t="str">
        <x:v>Legato lead / anchor</x:v>
      </x:c>
      <x:c r="D49" s="9" t="str">
        <x:v>First 32</x:v>
      </x:c>
      <x:c r="E49" s="2" t="str">
        <x:v>Development</x:v>
      </x:c>
      <x:c r="F49" s="9" t="str">
        <x:v>Mini V3; Model D cross-check</x:v>
      </x:c>
      <x:c r="G49" s="9" t="str">
        <x:v>Pitch/glide trajectory; envelope; timbre</x:v>
      </x:c>
      <x:c r="H49" s="12" t="n">
        <x:v>3</x:v>
      </x:c>
      <x:c r="I49" s="13"/>
      <x:c r="J49" s="14"/>
      <x:c r="K49" s="10" t="str">
        <x:v>NOT RUN</x:v>
      </x:c>
      <x:c r="L49" s="2" t="str">
        <x:f>IF(K49="STALE","STALE",IF(K49="NO VERDICT","NO VERDICT",IF(K49&lt;&gt;"VALID","NOT RUN",IF(OR(NOT(ISNUMBER(I49)),I49&lt;&gt;H49,NOT(ISNUMBER(J49)),J49&lt;0,M49=""),"NO VERDICT",IF(J49&lt;=1,"PASS","FAIL")))))</x:f>
        <x:v>NOT RUN</x:v>
      </x:c>
      <x:c r="M49" s="11"/>
      <x:c r="N49" s="9" t="str">
        <x:v>Base MIDI note 60. Overlapping notes with glide, then separated notes using the declared retrigger rule. Dry 4–8 s phrase plus complete release. Match measured pitch/cutoff and envelope timing, not normalized knob positions.</x:v>
      </x:c>
    </x:row>
    <x:row r="50" ht="72" customHeight="1">
      <x:c r="A50" s="2" t="str">
        <x:v>M4B</x:v>
      </x:c>
      <x:c r="B50" s="2" t="str">
        <x:v>Mono</x:v>
      </x:c>
      <x:c r="C50" s="9" t="str">
        <x:v>Legato lead / lower / darker</x:v>
      </x:c>
      <x:c r="D50" s="9" t="str">
        <x:v>Expansion 48</x:v>
      </x:c>
      <x:c r="E50" s="2" t="str">
        <x:v>Development</x:v>
      </x:c>
      <x:c r="F50" s="9" t="str">
        <x:v>Mini V3; Model D cross-check</x:v>
      </x:c>
      <x:c r="G50" s="9" t="str">
        <x:v>Pitch/glide trajectory; envelope; timbre</x:v>
      </x:c>
      <x:c r="H50" s="12" t="n">
        <x:v>3</x:v>
      </x:c>
      <x:c r="I50" s="13"/>
      <x:c r="J50" s="14"/>
      <x:c r="K50" s="10" t="str">
        <x:v>NOT RUN</x:v>
      </x:c>
      <x:c r="L50" s="2" t="str">
        <x:f>IF(K50="STALE","STALE",IF(K50="NO VERDICT","NO VERDICT",IF(K50&lt;&gt;"VALID","NOT RUN",IF(OR(NOT(ISNUMBER(I50)),I50&lt;&gt;H50,NOT(ISNUMBER(J50)),J50&lt;0,M50=""),"NO VERDICT",IF(J50&lt;=1,"PASS","FAIL")))))</x:f>
        <x:v>NOT RUN</x:v>
      </x:c>
      <x:c r="M50" s="11"/>
      <x:c r="N50" s="9" t="str">
        <x:v>Base MIDI note 48. Overlapping notes with glide, then separated notes using the declared retrigger rule. Dry 4–8 s phrase plus complete release. Match measured pitch/cutoff and envelope timing, not normalized knob positions.</x:v>
      </x:c>
    </x:row>
    <x:row r="51" ht="72" customHeight="1">
      <x:c r="A51" s="2" t="str">
        <x:v>M4C</x:v>
      </x:c>
      <x:c r="B51" s="2" t="str">
        <x:v>Mono</x:v>
      </x:c>
      <x:c r="C51" s="9" t="str">
        <x:v>Legato lead / higher / brighter</x:v>
      </x:c>
      <x:c r="D51" s="9" t="str">
        <x:v>Expansion 48</x:v>
      </x:c>
      <x:c r="E51" s="2" t="str">
        <x:v>Development</x:v>
      </x:c>
      <x:c r="F51" s="9" t="str">
        <x:v>Mini V3; Model D cross-check</x:v>
      </x:c>
      <x:c r="G51" s="9" t="str">
        <x:v>Pitch/glide trajectory; envelope; timbre</x:v>
      </x:c>
      <x:c r="H51" s="12" t="n">
        <x:v>3</x:v>
      </x:c>
      <x:c r="I51" s="13"/>
      <x:c r="J51" s="14"/>
      <x:c r="K51" s="10" t="str">
        <x:v>NOT RUN</x:v>
      </x:c>
      <x:c r="L51" s="2" t="str">
        <x:f>IF(K51="STALE","STALE",IF(K51="NO VERDICT","NO VERDICT",IF(K51&lt;&gt;"VALID","NOT RUN",IF(OR(NOT(ISNUMBER(I51)),I51&lt;&gt;H51,NOT(ISNUMBER(J51)),J51&lt;0,M51=""),"NO VERDICT",IF(J51&lt;=1,"PASS","FAIL")))))</x:f>
        <x:v>NOT RUN</x:v>
      </x:c>
      <x:c r="M51" s="11"/>
      <x:c r="N51" s="9" t="str">
        <x:v>Base MIDI note 72. Overlapping notes with glide, then separated notes using the declared retrigger rule. Dry 4–8 s phrase plus complete release. Match measured pitch/cutoff and envelope timing, not normalized knob positions.</x:v>
      </x:c>
    </x:row>
    <x:row r="52" ht="72" customHeight="1">
      <x:c r="A52" s="2" t="str">
        <x:v>M4D</x:v>
      </x:c>
      <x:c r="B52" s="2" t="str">
        <x:v>Mono</x:v>
      </x:c>
      <x:c r="C52" s="9" t="str">
        <x:v>Legato lead / new gesture</x:v>
      </x:c>
      <x:c r="D52" s="9" t="str">
        <x:v>Expansion 48</x:v>
      </x:c>
      <x:c r="E52" s="2" t="str">
        <x:v>Development</x:v>
      </x:c>
      <x:c r="F52" s="9" t="str">
        <x:v>Mini V3; Model D cross-check</x:v>
      </x:c>
      <x:c r="G52" s="9" t="str">
        <x:v>Pitch/glide trajectory; envelope; timbre</x:v>
      </x:c>
      <x:c r="H52" s="12" t="n">
        <x:v>3</x:v>
      </x:c>
      <x:c r="I52" s="13"/>
      <x:c r="J52" s="14"/>
      <x:c r="K52" s="10" t="str">
        <x:v>NOT RUN</x:v>
      </x:c>
      <x:c r="L52" s="2" t="str">
        <x:f>IF(K52="STALE","STALE",IF(K52="NO VERDICT","NO VERDICT",IF(K52&lt;&gt;"VALID","NOT RUN",IF(OR(NOT(ISNUMBER(I52)),I52&lt;&gt;H52,NOT(ISNUMBER(J52)),J52&lt;0,M52=""),"NO VERDICT",IF(J52&lt;=1,"PASS","FAIL")))))</x:f>
        <x:v>NOT RUN</x:v>
      </x:c>
      <x:c r="M52" s="11"/>
      <x:c r="N52" s="9" t="str">
        <x:v>Base MIDI note 60. Overlapping notes with glide, then separated notes using the declared retrigger rule. Dry 4–8 s phrase plus complete release. Match measured pitch/cutoff and envelope timing, not normalized knob positions.</x:v>
      </x:c>
    </x:row>
    <x:row r="53" ht="72" customHeight="1">
      <x:c r="A53" s="2" t="str">
        <x:v>M5A</x:v>
      </x:c>
      <x:c r="B53" s="2" t="str">
        <x:v>Mono</x:v>
      </x:c>
      <x:c r="C53" s="9" t="str">
        <x:v>Bright high lead / anchor</x:v>
      </x:c>
      <x:c r="D53" s="9" t="str">
        <x:v>First 32</x:v>
      </x:c>
      <x:c r="E53" s="2" t="str">
        <x:v>Development</x:v>
      </x:c>
      <x:c r="F53" s="9" t="str">
        <x:v>Mini V3; Model D cross-check</x:v>
      </x:c>
      <x:c r="G53" s="9" t="str">
        <x:v>Pitch; harmonic shape; foldback energy</x:v>
      </x:c>
      <x:c r="H53" s="12" t="n">
        <x:v>3</x:v>
      </x:c>
      <x:c r="I53" s="13"/>
      <x:c r="J53" s="14"/>
      <x:c r="K53" s="10" t="str">
        <x:v>NOT RUN</x:v>
      </x:c>
      <x:c r="L53" s="2" t="str">
        <x:f>IF(K53="STALE","STALE",IF(K53="NO VERDICT","NO VERDICT",IF(K53&lt;&gt;"VALID","NOT RUN",IF(OR(NOT(ISNUMBER(I53)),I53&lt;&gt;H53,NOT(ISNUMBER(J53)),J53&lt;0,M53=""),"NO VERDICT",IF(J53&lt;=1,"PASS","FAIL")))))</x:f>
        <x:v>NOT RUN</x:v>
      </x:c>
      <x:c r="M53" s="11"/>
      <x:c r="N53" s="9" t="str">
        <x:v>Base MIDI note 84. Open filter; saw and pulse tested in separate segments; include high notes. Dry 4–8 s phrase plus complete release. Match measured pitch/cutoff and envelope timing, not normalized knob positions.</x:v>
      </x:c>
    </x:row>
    <x:row r="54" ht="72" customHeight="1">
      <x:c r="A54" s="2" t="str">
        <x:v>M5B</x:v>
      </x:c>
      <x:c r="B54" s="2" t="str">
        <x:v>Mono</x:v>
      </x:c>
      <x:c r="C54" s="9" t="str">
        <x:v>Bright high lead / lower / darker</x:v>
      </x:c>
      <x:c r="D54" s="9" t="str">
        <x:v>Expansion 48</x:v>
      </x:c>
      <x:c r="E54" s="2" t="str">
        <x:v>Development</x:v>
      </x:c>
      <x:c r="F54" s="9" t="str">
        <x:v>Mini V3; Model D cross-check</x:v>
      </x:c>
      <x:c r="G54" s="9" t="str">
        <x:v>Pitch; harmonic shape; foldback energy</x:v>
      </x:c>
      <x:c r="H54" s="12" t="n">
        <x:v>3</x:v>
      </x:c>
      <x:c r="I54" s="13"/>
      <x:c r="J54" s="14"/>
      <x:c r="K54" s="10" t="str">
        <x:v>NOT RUN</x:v>
      </x:c>
      <x:c r="L54" s="2" t="str">
        <x:f>IF(K54="STALE","STALE",IF(K54="NO VERDICT","NO VERDICT",IF(K54&lt;&gt;"VALID","NOT RUN",IF(OR(NOT(ISNUMBER(I54)),I54&lt;&gt;H54,NOT(ISNUMBER(J54)),J54&lt;0,M54=""),"NO VERDICT",IF(J54&lt;=1,"PASS","FAIL")))))</x:f>
        <x:v>NOT RUN</x:v>
      </x:c>
      <x:c r="M54" s="11"/>
      <x:c r="N54" s="9" t="str">
        <x:v>Base MIDI note 72. Open filter; saw and pulse tested in separate segments; include high notes. Dry 4–8 s phrase plus complete release. Match measured pitch/cutoff and envelope timing, not normalized knob positions.</x:v>
      </x:c>
    </x:row>
    <x:row r="55" ht="72" customHeight="1">
      <x:c r="A55" s="2" t="str">
        <x:v>M5C</x:v>
      </x:c>
      <x:c r="B55" s="2" t="str">
        <x:v>Mono</x:v>
      </x:c>
      <x:c r="C55" s="9" t="str">
        <x:v>Bright high lead / higher / brighter</x:v>
      </x:c>
      <x:c r="D55" s="9" t="str">
        <x:v>Expansion 48</x:v>
      </x:c>
      <x:c r="E55" s="2" t="str">
        <x:v>Development</x:v>
      </x:c>
      <x:c r="F55" s="9" t="str">
        <x:v>Mini V3; Model D cross-check</x:v>
      </x:c>
      <x:c r="G55" s="9" t="str">
        <x:v>Pitch; harmonic shape; foldback energy</x:v>
      </x:c>
      <x:c r="H55" s="12" t="n">
        <x:v>3</x:v>
      </x:c>
      <x:c r="I55" s="13"/>
      <x:c r="J55" s="14"/>
      <x:c r="K55" s="10" t="str">
        <x:v>NOT RUN</x:v>
      </x:c>
      <x:c r="L55" s="2" t="str">
        <x:f>IF(K55="STALE","STALE",IF(K55="NO VERDICT","NO VERDICT",IF(K55&lt;&gt;"VALID","NOT RUN",IF(OR(NOT(ISNUMBER(I55)),I55&lt;&gt;H55,NOT(ISNUMBER(J55)),J55&lt;0,M55=""),"NO VERDICT",IF(J55&lt;=1,"PASS","FAIL")))))</x:f>
        <x:v>NOT RUN</x:v>
      </x:c>
      <x:c r="M55" s="11"/>
      <x:c r="N55" s="9" t="str">
        <x:v>Base MIDI note 96. Open filter; saw and pulse tested in separate segments; include high notes. Dry 4–8 s phrase plus complete release. Match measured pitch/cutoff and envelope timing, not normalized knob positions.</x:v>
      </x:c>
    </x:row>
    <x:row r="56" ht="72" customHeight="1">
      <x:c r="A56" s="2" t="str">
        <x:v>M5D</x:v>
      </x:c>
      <x:c r="B56" s="2" t="str">
        <x:v>Mono</x:v>
      </x:c>
      <x:c r="C56" s="9" t="str">
        <x:v>Bright high lead / new gesture</x:v>
      </x:c>
      <x:c r="D56" s="9" t="str">
        <x:v>Holdout 20</x:v>
      </x:c>
      <x:c r="E56" s="2" t="str">
        <x:v>Holdout</x:v>
      </x:c>
      <x:c r="F56" s="9" t="str">
        <x:v>Mini V3; Model D cross-check</x:v>
      </x:c>
      <x:c r="G56" s="9" t="str">
        <x:v>Pitch; harmonic shape; foldback energy</x:v>
      </x:c>
      <x:c r="H56" s="12" t="n">
        <x:v>3</x:v>
      </x:c>
      <x:c r="I56" s="13"/>
      <x:c r="J56" s="14"/>
      <x:c r="K56" s="10" t="str">
        <x:v>NOT RUN</x:v>
      </x:c>
      <x:c r="L56" s="2" t="str">
        <x:f>IF(K56="STALE","STALE",IF(K56="NO VERDICT","NO VERDICT",IF(K56&lt;&gt;"VALID","NOT RUN",IF(OR(NOT(ISNUMBER(I56)),I56&lt;&gt;H56,NOT(ISNUMBER(J56)),J56&lt;0,M56=""),"NO VERDICT",IF(J56&lt;=1,"PASS","FAIL")))))</x:f>
        <x:v>NOT RUN</x:v>
      </x:c>
      <x:c r="M56" s="11"/>
      <x:c r="N56" s="9" t="str">
        <x:v>Reserve unseen note/control trajectories within this family. Fix the mapping before tuning; reveal detailed results only at a release evaluation.</x:v>
      </x:c>
    </x:row>
    <x:row r="57" ht="72" customHeight="1">
      <x:c r="A57" s="2" t="str">
        <x:v>M6A</x:v>
      </x:c>
      <x:c r="B57" s="2" t="str">
        <x:v>Mono</x:v>
      </x:c>
      <x:c r="C57" s="9" t="str">
        <x:v>Resonant pluck / anchor</x:v>
      </x:c>
      <x:c r="D57" s="9" t="str">
        <x:v>First 32</x:v>
      </x:c>
      <x:c r="E57" s="2" t="str">
        <x:v>Development</x:v>
      </x:c>
      <x:c r="F57" s="9" t="str">
        <x:v>Mini V3; Model D cross-check</x:v>
      </x:c>
      <x:c r="G57" s="9" t="str">
        <x:v>Resonance trajectory; envelope; residual tail</x:v>
      </x:c>
      <x:c r="H57" s="12" t="n">
        <x:v>3</x:v>
      </x:c>
      <x:c r="I57" s="13"/>
      <x:c r="J57" s="14"/>
      <x:c r="K57" s="10" t="str">
        <x:v>NOT RUN</x:v>
      </x:c>
      <x:c r="L57" s="2" t="str">
        <x:f>IF(K57="STALE","STALE",IF(K57="NO VERDICT","NO VERDICT",IF(K57&lt;&gt;"VALID","NOT RUN",IF(OR(NOT(ISNUMBER(I57)),I57&lt;&gt;H57,NOT(ISNUMBER(J57)),J57&lt;0,M57=""),"NO VERDICT",IF(J57&lt;=1,"PASS","FAIL")))))</x:f>
        <x:v>NOT RUN</x:v>
      </x:c>
      <x:c r="M57" s="11"/>
      <x:c r="N57" s="9" t="str">
        <x:v>Base MIDI note 55. Resonant filter envelope; repeat with silence long enough to check release. Dry 4–8 s phrase plus complete release. Match measured pitch/cutoff and envelope timing, not normalized knob positions.</x:v>
      </x:c>
    </x:row>
    <x:row r="58" ht="72" customHeight="1">
      <x:c r="A58" s="2" t="str">
        <x:v>M6B</x:v>
      </x:c>
      <x:c r="B58" s="2" t="str">
        <x:v>Mono</x:v>
      </x:c>
      <x:c r="C58" s="9" t="str">
        <x:v>Resonant pluck / lower / darker</x:v>
      </x:c>
      <x:c r="D58" s="9" t="str">
        <x:v>Expansion 48</x:v>
      </x:c>
      <x:c r="E58" s="2" t="str">
        <x:v>Development</x:v>
      </x:c>
      <x:c r="F58" s="9" t="str">
        <x:v>Mini V3; Model D cross-check</x:v>
      </x:c>
      <x:c r="G58" s="9" t="str">
        <x:v>Resonance trajectory; envelope; residual tail</x:v>
      </x:c>
      <x:c r="H58" s="12" t="n">
        <x:v>3</x:v>
      </x:c>
      <x:c r="I58" s="13"/>
      <x:c r="J58" s="14"/>
      <x:c r="K58" s="10" t="str">
        <x:v>NOT RUN</x:v>
      </x:c>
      <x:c r="L58" s="2" t="str">
        <x:f>IF(K58="STALE","STALE",IF(K58="NO VERDICT","NO VERDICT",IF(K58&lt;&gt;"VALID","NOT RUN",IF(OR(NOT(ISNUMBER(I58)),I58&lt;&gt;H58,NOT(ISNUMBER(J58)),J58&lt;0,M58=""),"NO VERDICT",IF(J58&lt;=1,"PASS","FAIL")))))</x:f>
        <x:v>NOT RUN</x:v>
      </x:c>
      <x:c r="M58" s="11"/>
      <x:c r="N58" s="9" t="str">
        <x:v>Base MIDI note 43. Resonant filter envelope; repeat with silence long enough to check release. Dry 4–8 s phrase plus complete release. Match measured pitch/cutoff and envelope timing, not normalized knob positions.</x:v>
      </x:c>
    </x:row>
    <x:row r="59" ht="72" customHeight="1">
      <x:c r="A59" s="2" t="str">
        <x:v>M6C</x:v>
      </x:c>
      <x:c r="B59" s="2" t="str">
        <x:v>Mono</x:v>
      </x:c>
      <x:c r="C59" s="9" t="str">
        <x:v>Resonant pluck / higher / brighter</x:v>
      </x:c>
      <x:c r="D59" s="9" t="str">
        <x:v>Expansion 48</x:v>
      </x:c>
      <x:c r="E59" s="2" t="str">
        <x:v>Development</x:v>
      </x:c>
      <x:c r="F59" s="9" t="str">
        <x:v>Mini V3; Model D cross-check</x:v>
      </x:c>
      <x:c r="G59" s="9" t="str">
        <x:v>Resonance trajectory; envelope; residual tail</x:v>
      </x:c>
      <x:c r="H59" s="12" t="n">
        <x:v>3</x:v>
      </x:c>
      <x:c r="I59" s="13"/>
      <x:c r="J59" s="14"/>
      <x:c r="K59" s="10" t="str">
        <x:v>NOT RUN</x:v>
      </x:c>
      <x:c r="L59" s="2" t="str">
        <x:f>IF(K59="STALE","STALE",IF(K59="NO VERDICT","NO VERDICT",IF(K59&lt;&gt;"VALID","NOT RUN",IF(OR(NOT(ISNUMBER(I59)),I59&lt;&gt;H59,NOT(ISNUMBER(J59)),J59&lt;0,M59=""),"NO VERDICT",IF(J59&lt;=1,"PASS","FAIL")))))</x:f>
        <x:v>NOT RUN</x:v>
      </x:c>
      <x:c r="M59" s="11"/>
      <x:c r="N59" s="9" t="str">
        <x:v>Base MIDI note 67. Resonant filter envelope; repeat with silence long enough to check release. Dry 4–8 s phrase plus complete release. Match measured pitch/cutoff and envelope timing, not normalized knob positions.</x:v>
      </x:c>
    </x:row>
    <x:row r="60" ht="72" customHeight="1">
      <x:c r="A60" s="2" t="str">
        <x:v>M6D</x:v>
      </x:c>
      <x:c r="B60" s="2" t="str">
        <x:v>Mono</x:v>
      </x:c>
      <x:c r="C60" s="9" t="str">
        <x:v>Resonant pluck / new gesture</x:v>
      </x:c>
      <x:c r="D60" s="9" t="str">
        <x:v>Expansion 48</x:v>
      </x:c>
      <x:c r="E60" s="2" t="str">
        <x:v>Development</x:v>
      </x:c>
      <x:c r="F60" s="9" t="str">
        <x:v>Mini V3; Model D cross-check</x:v>
      </x:c>
      <x:c r="G60" s="9" t="str">
        <x:v>Resonance trajectory; envelope; residual tail</x:v>
      </x:c>
      <x:c r="H60" s="12" t="n">
        <x:v>3</x:v>
      </x:c>
      <x:c r="I60" s="13"/>
      <x:c r="J60" s="14"/>
      <x:c r="K60" s="10" t="str">
        <x:v>NOT RUN</x:v>
      </x:c>
      <x:c r="L60" s="2" t="str">
        <x:f>IF(K60="STALE","STALE",IF(K60="NO VERDICT","NO VERDICT",IF(K60&lt;&gt;"VALID","NOT RUN",IF(OR(NOT(ISNUMBER(I60)),I60&lt;&gt;H60,NOT(ISNUMBER(J60)),J60&lt;0,M60=""),"NO VERDICT",IF(J60&lt;=1,"PASS","FAIL")))))</x:f>
        <x:v>NOT RUN</x:v>
      </x:c>
      <x:c r="M60" s="11"/>
      <x:c r="N60" s="9" t="str">
        <x:v>Base MIDI note 55. Resonant filter envelope; repeat with silence long enough to check release. Dry 4–8 s phrase plus complete release. Match measured pitch/cutoff and envelope timing, not normalized knob positions.</x:v>
      </x:c>
    </x:row>
    <x:row r="61" ht="72" customHeight="1">
      <x:c r="A61" s="2" t="str">
        <x:v>M7A</x:v>
      </x:c>
      <x:c r="B61" s="2" t="str">
        <x:v>Mono</x:v>
      </x:c>
      <x:c r="C61" s="9" t="str">
        <x:v>Noise percussion / anchor</x:v>
      </x:c>
      <x:c r="D61" s="9" t="str">
        <x:v>First 32</x:v>
      </x:c>
      <x:c r="E61" s="2" t="str">
        <x:v>Development</x:v>
      </x:c>
      <x:c r="F61" s="9" t="str">
        <x:v>Mini V3; Model D cross-check</x:v>
      </x:c>
      <x:c r="G61" s="9" t="str">
        <x:v>Spectral bands; rise/decay; noise statistics</x:v>
      </x:c>
      <x:c r="H61" s="12" t="n">
        <x:v>3</x:v>
      </x:c>
      <x:c r="I61" s="13"/>
      <x:c r="J61" s="14"/>
      <x:c r="K61" s="10" t="str">
        <x:v>NOT RUN</x:v>
      </x:c>
      <x:c r="L61" s="2" t="str">
        <x:f>IF(K61="STALE","STALE",IF(K61="NO VERDICT","NO VERDICT",IF(K61&lt;&gt;"VALID","NOT RUN",IF(OR(NOT(ISNUMBER(I61)),I61&lt;&gt;H61,NOT(ISNUMBER(J61)),J61&lt;0,M61=""),"NO VERDICT",IF(J61&lt;=1,"PASS","FAIL")))))</x:f>
        <x:v>NOT RUN</x:v>
      </x:c>
      <x:c r="M61" s="11"/>
      <x:c r="N61" s="9" t="str">
        <x:v>Base MIDI note 60. Noise through the ladder with a short envelope. Keep oscillator sources silent. Dry 4–8 s phrase plus complete release. Match measured pitch/cutoff and envelope timing, not normalized knob positions.</x:v>
      </x:c>
    </x:row>
    <x:row r="62" ht="72" customHeight="1">
      <x:c r="A62" s="2" t="str">
        <x:v>M7B</x:v>
      </x:c>
      <x:c r="B62" s="2" t="str">
        <x:v>Mono</x:v>
      </x:c>
      <x:c r="C62" s="9" t="str">
        <x:v>Noise percussion / lower / darker</x:v>
      </x:c>
      <x:c r="D62" s="9" t="str">
        <x:v>Expansion 48</x:v>
      </x:c>
      <x:c r="E62" s="2" t="str">
        <x:v>Development</x:v>
      </x:c>
      <x:c r="F62" s="9" t="str">
        <x:v>Mini V3; Model D cross-check</x:v>
      </x:c>
      <x:c r="G62" s="9" t="str">
        <x:v>Spectral bands; rise/decay; noise statistics</x:v>
      </x:c>
      <x:c r="H62" s="12" t="n">
        <x:v>3</x:v>
      </x:c>
      <x:c r="I62" s="13"/>
      <x:c r="J62" s="14"/>
      <x:c r="K62" s="10" t="str">
        <x:v>NOT RUN</x:v>
      </x:c>
      <x:c r="L62" s="2" t="str">
        <x:f>IF(K62="STALE","STALE",IF(K62="NO VERDICT","NO VERDICT",IF(K62&lt;&gt;"VALID","NOT RUN",IF(OR(NOT(ISNUMBER(I62)),I62&lt;&gt;H62,NOT(ISNUMBER(J62)),J62&lt;0,M62=""),"NO VERDICT",IF(J62&lt;=1,"PASS","FAIL")))))</x:f>
        <x:v>NOT RUN</x:v>
      </x:c>
      <x:c r="M62" s="11"/>
      <x:c r="N62" s="9" t="str">
        <x:v>Base MIDI note 48. Noise through the ladder with a short envelope. Keep oscillator sources silent. Dry 4–8 s phrase plus complete release. Match measured pitch/cutoff and envelope timing, not normalized knob positions.</x:v>
      </x:c>
    </x:row>
    <x:row r="63" ht="72" customHeight="1">
      <x:c r="A63" s="2" t="str">
        <x:v>M7C</x:v>
      </x:c>
      <x:c r="B63" s="2" t="str">
        <x:v>Mono</x:v>
      </x:c>
      <x:c r="C63" s="9" t="str">
        <x:v>Noise percussion / higher / brighter</x:v>
      </x:c>
      <x:c r="D63" s="9" t="str">
        <x:v>Expansion 48</x:v>
      </x:c>
      <x:c r="E63" s="2" t="str">
        <x:v>Development</x:v>
      </x:c>
      <x:c r="F63" s="9" t="str">
        <x:v>Mini V3; Model D cross-check</x:v>
      </x:c>
      <x:c r="G63" s="9" t="str">
        <x:v>Spectral bands; rise/decay; noise statistics</x:v>
      </x:c>
      <x:c r="H63" s="12" t="n">
        <x:v>3</x:v>
      </x:c>
      <x:c r="I63" s="13"/>
      <x:c r="J63" s="14"/>
      <x:c r="K63" s="10" t="str">
        <x:v>NOT RUN</x:v>
      </x:c>
      <x:c r="L63" s="2" t="str">
        <x:f>IF(K63="STALE","STALE",IF(K63="NO VERDICT","NO VERDICT",IF(K63&lt;&gt;"VALID","NOT RUN",IF(OR(NOT(ISNUMBER(I63)),I63&lt;&gt;H63,NOT(ISNUMBER(J63)),J63&lt;0,M63=""),"NO VERDICT",IF(J63&lt;=1,"PASS","FAIL")))))</x:f>
        <x:v>NOT RUN</x:v>
      </x:c>
      <x:c r="M63" s="11"/>
      <x:c r="N63" s="9" t="str">
        <x:v>Base MIDI note 72. Noise through the ladder with a short envelope. Keep oscillator sources silent. Dry 4–8 s phrase plus complete release. Match measured pitch/cutoff and envelope timing, not normalized knob positions.</x:v>
      </x:c>
    </x:row>
    <x:row r="64" ht="72" customHeight="1">
      <x:c r="A64" s="2" t="str">
        <x:v>M7D</x:v>
      </x:c>
      <x:c r="B64" s="2" t="str">
        <x:v>Mono</x:v>
      </x:c>
      <x:c r="C64" s="9" t="str">
        <x:v>Noise percussion / new gesture</x:v>
      </x:c>
      <x:c r="D64" s="9" t="str">
        <x:v>Holdout 20</x:v>
      </x:c>
      <x:c r="E64" s="2" t="str">
        <x:v>Holdout</x:v>
      </x:c>
      <x:c r="F64" s="9" t="str">
        <x:v>Mini V3; Model D cross-check</x:v>
      </x:c>
      <x:c r="G64" s="9" t="str">
        <x:v>Spectral bands; rise/decay; noise statistics</x:v>
      </x:c>
      <x:c r="H64" s="12" t="n">
        <x:v>3</x:v>
      </x:c>
      <x:c r="I64" s="13"/>
      <x:c r="J64" s="14"/>
      <x:c r="K64" s="10" t="str">
        <x:v>NOT RUN</x:v>
      </x:c>
      <x:c r="L64" s="2" t="str">
        <x:f>IF(K64="STALE","STALE",IF(K64="NO VERDICT","NO VERDICT",IF(K64&lt;&gt;"VALID","NOT RUN",IF(OR(NOT(ISNUMBER(I64)),I64&lt;&gt;H64,NOT(ISNUMBER(J64)),J64&lt;0,M64=""),"NO VERDICT",IF(J64&lt;=1,"PASS","FAIL")))))</x:f>
        <x:v>NOT RUN</x:v>
      </x:c>
      <x:c r="M64" s="11"/>
      <x:c r="N64" s="9" t="str">
        <x:v>Reserve unseen note/control trajectories within this family. Fix the mapping before tuning; reveal detailed results only at a release evaluation.</x:v>
      </x:c>
    </x:row>
    <x:row r="65" ht="72" customHeight="1">
      <x:c r="A65" s="2" t="str">
        <x:v>M8A</x:v>
      </x:c>
      <x:c r="B65" s="2" t="str">
        <x:v>Mono</x:v>
      </x:c>
      <x:c r="C65" s="9" t="str">
        <x:v>Oscillator-3 modulation / anchor</x:v>
      </x:c>
      <x:c r="D65" s="9" t="str">
        <x:v>First 32</x:v>
      </x:c>
      <x:c r="E65" s="2" t="str">
        <x:v>Development</x:v>
      </x:c>
      <x:c r="F65" s="9" t="str">
        <x:v>Mini V3; Model D cross-check</x:v>
      </x:c>
      <x:c r="G65" s="9" t="str">
        <x:v>Modulation rate/depth; sidebands; envelope</x:v>
      </x:c>
      <x:c r="H65" s="12" t="n">
        <x:v>3</x:v>
      </x:c>
      <x:c r="I65" s="13"/>
      <x:c r="J65" s="14"/>
      <x:c r="K65" s="10" t="str">
        <x:v>NOT RUN</x:v>
      </x:c>
      <x:c r="L65" s="2" t="str">
        <x:f>IF(K65="STALE","STALE",IF(K65="NO VERDICT","NO VERDICT",IF(K65&lt;&gt;"VALID","NOT RUN",IF(OR(NOT(ISNUMBER(I65)),I65&lt;&gt;H65,NOT(ISNUMBER(J65)),J65&lt;0,M65=""),"NO VERDICT",IF(J65&lt;=1,"PASS","FAIL")))))</x:f>
        <x:v>NOT RUN</x:v>
      </x:c>
      <x:c r="M65" s="11"/>
      <x:c r="N65" s="9" t="str">
        <x:v>Base MIDI note 60. Fixed carrier pitch and repeatable oscillator-3 modulation; fixed wheel trajectory. Dry 4–8 s phrase plus complete release. Match measured pitch/cutoff and envelope timing, not normalized knob positions.</x:v>
      </x:c>
    </x:row>
    <x:row r="66" ht="72" customHeight="1">
      <x:c r="A66" s="2" t="str">
        <x:v>M8B</x:v>
      </x:c>
      <x:c r="B66" s="2" t="str">
        <x:v>Mono</x:v>
      </x:c>
      <x:c r="C66" s="9" t="str">
        <x:v>Oscillator-3 modulation / lower / darker</x:v>
      </x:c>
      <x:c r="D66" s="9" t="str">
        <x:v>Expansion 48</x:v>
      </x:c>
      <x:c r="E66" s="2" t="str">
        <x:v>Development</x:v>
      </x:c>
      <x:c r="F66" s="9" t="str">
        <x:v>Mini V3; Model D cross-check</x:v>
      </x:c>
      <x:c r="G66" s="9" t="str">
        <x:v>Modulation rate/depth; sidebands; envelope</x:v>
      </x:c>
      <x:c r="H66" s="12" t="n">
        <x:v>3</x:v>
      </x:c>
      <x:c r="I66" s="13"/>
      <x:c r="J66" s="14"/>
      <x:c r="K66" s="10" t="str">
        <x:v>NOT RUN</x:v>
      </x:c>
      <x:c r="L66" s="2" t="str">
        <x:f>IF(K66="STALE","STALE",IF(K66="NO VERDICT","NO VERDICT",IF(K66&lt;&gt;"VALID","NOT RUN",IF(OR(NOT(ISNUMBER(I66)),I66&lt;&gt;H66,NOT(ISNUMBER(J66)),J66&lt;0,M66=""),"NO VERDICT",IF(J66&lt;=1,"PASS","FAIL")))))</x:f>
        <x:v>NOT RUN</x:v>
      </x:c>
      <x:c r="M66" s="11"/>
      <x:c r="N66" s="9" t="str">
        <x:v>Base MIDI note 48. Fixed carrier pitch and repeatable oscillator-3 modulation; fixed wheel trajectory. Dry 4–8 s phrase plus complete release. Match measured pitch/cutoff and envelope timing, not normalized knob positions.</x:v>
      </x:c>
    </x:row>
    <x:row r="67" ht="72" customHeight="1">
      <x:c r="A67" s="2" t="str">
        <x:v>M8C</x:v>
      </x:c>
      <x:c r="B67" s="2" t="str">
        <x:v>Mono</x:v>
      </x:c>
      <x:c r="C67" s="9" t="str">
        <x:v>Oscillator-3 modulation / higher / brighter</x:v>
      </x:c>
      <x:c r="D67" s="9" t="str">
        <x:v>Expansion 48</x:v>
      </x:c>
      <x:c r="E67" s="2" t="str">
        <x:v>Development</x:v>
      </x:c>
      <x:c r="F67" s="9" t="str">
        <x:v>Mini V3; Model D cross-check</x:v>
      </x:c>
      <x:c r="G67" s="9" t="str">
        <x:v>Modulation rate/depth; sidebands; envelope</x:v>
      </x:c>
      <x:c r="H67" s="12" t="n">
        <x:v>3</x:v>
      </x:c>
      <x:c r="I67" s="13"/>
      <x:c r="J67" s="14"/>
      <x:c r="K67" s="10" t="str">
        <x:v>NOT RUN</x:v>
      </x:c>
      <x:c r="L67" s="2" t="str">
        <x:f>IF(K67="STALE","STALE",IF(K67="NO VERDICT","NO VERDICT",IF(K67&lt;&gt;"VALID","NOT RUN",IF(OR(NOT(ISNUMBER(I67)),I67&lt;&gt;H67,NOT(ISNUMBER(J67)),J67&lt;0,M67=""),"NO VERDICT",IF(J67&lt;=1,"PASS","FAIL")))))</x:f>
        <x:v>NOT RUN</x:v>
      </x:c>
      <x:c r="M67" s="11"/>
      <x:c r="N67" s="9" t="str">
        <x:v>Base MIDI note 72. Fixed carrier pitch and repeatable oscillator-3 modulation; fixed wheel trajectory. Dry 4–8 s phrase plus complete release. Match measured pitch/cutoff and envelope timing, not normalized knob positions.</x:v>
      </x:c>
    </x:row>
    <x:row r="68" ht="72" customHeight="1">
      <x:c r="A68" s="2" t="str">
        <x:v>M8D</x:v>
      </x:c>
      <x:c r="B68" s="2" t="str">
        <x:v>Mono</x:v>
      </x:c>
      <x:c r="C68" s="9" t="str">
        <x:v>Oscillator-3 modulation / new gesture</x:v>
      </x:c>
      <x:c r="D68" s="9" t="str">
        <x:v>Expansion 48</x:v>
      </x:c>
      <x:c r="E68" s="2" t="str">
        <x:v>Development</x:v>
      </x:c>
      <x:c r="F68" s="9" t="str">
        <x:v>Mini V3; Model D cross-check</x:v>
      </x:c>
      <x:c r="G68" s="9" t="str">
        <x:v>Modulation rate/depth; sidebands; envelope</x:v>
      </x:c>
      <x:c r="H68" s="12" t="n">
        <x:v>3</x:v>
      </x:c>
      <x:c r="I68" s="13"/>
      <x:c r="J68" s="14"/>
      <x:c r="K68" s="10" t="str">
        <x:v>NOT RUN</x:v>
      </x:c>
      <x:c r="L68" s="2" t="str">
        <x:f>IF(K68="STALE","STALE",IF(K68="NO VERDICT","NO VERDICT",IF(K68&lt;&gt;"VALID","NOT RUN",IF(OR(NOT(ISNUMBER(I68)),I68&lt;&gt;H68,NOT(ISNUMBER(J68)),J68&lt;0,M68=""),"NO VERDICT",IF(J68&lt;=1,"PASS","FAIL")))))</x:f>
        <x:v>NOT RUN</x:v>
      </x:c>
      <x:c r="M68" s="11"/>
      <x:c r="N68" s="9" t="str">
        <x:v>Base MIDI note 60. Fixed carrier pitch and repeatable oscillator-3 modulation; fixed wheel trajectory. Dry 4–8 s phrase plus complete release. Match measured pitch/cutoff and envelope timing, not normalized knob positions.</x:v>
      </x:c>
    </x:row>
    <x:row r="69" ht="72" customHeight="1">
      <x:c r="A69" s="2" t="str">
        <x:v>F1A</x:v>
      </x:c>
      <x:c r="B69" s="2" t="str">
        <x:v>Filters</x:v>
      </x:c>
      <x:c r="C69" s="9" t="str">
        <x:v>Cutoff response / low</x:v>
      </x:c>
      <x:c r="D69" s="9" t="str">
        <x:v>First 32</x:v>
      </x:c>
      <x:c r="E69" s="2" t="str">
        <x:v>Development</x:v>
      </x:c>
      <x:c r="F69" s="9" t="str">
        <x:v>Surge Type 2 / qualified path</x:v>
      </x:c>
      <x:c r="G69" s="9" t="str">
        <x:v>Corner frequency; low-band gain; rolloff</x:v>
      </x:c>
      <x:c r="H69" s="12" t="n">
        <x:v>3</x:v>
      </x:c>
      <x:c r="I69" s="13"/>
      <x:c r="J69" s="14"/>
      <x:c r="K69" s="10" t="str">
        <x:v>NOT RUN</x:v>
      </x:c>
      <x:c r="L69" s="2" t="str">
        <x:f>IF(K69="STALE","STALE",IF(K69="NO VERDICT","NO VERDICT",IF(K69&lt;&gt;"VALID","NOT RUN",IF(OR(NOT(ISNUMBER(I69)),I69&lt;&gt;H69,NOT(ISNUMBER(J69)),J69&lt;0,M69=""),"NO VERDICT",IF(J69&lt;=1,"PASS","FAIL")))))</x:f>
        <x:v>NOT RUN</x:v>
      </x:c>
      <x:c r="M69" s="11"/>
      <x:c r="N69" s="9" t="str">
        <x:v>Low-level stepped tones at resonance zero; compare identical input through both filter paths. Nominal cutoff region 250 Hz, verified by measurement. A second qualified emulation is a cross-check, not a pooled target.</x:v>
      </x:c>
    </x:row>
    <x:row r="70" ht="72" customHeight="1">
      <x:c r="A70" s="2" t="str">
        <x:v>F1B</x:v>
      </x:c>
      <x:c r="B70" s="2" t="str">
        <x:v>Filters</x:v>
      </x:c>
      <x:c r="C70" s="9" t="str">
        <x:v>Cutoff response / mid</x:v>
      </x:c>
      <x:c r="D70" s="9" t="str">
        <x:v>Expansion 48</x:v>
      </x:c>
      <x:c r="E70" s="2" t="str">
        <x:v>Development</x:v>
      </x:c>
      <x:c r="F70" s="9" t="str">
        <x:v>Surge Type 2 / qualified path</x:v>
      </x:c>
      <x:c r="G70" s="9" t="str">
        <x:v>Corner frequency; low-band gain; rolloff</x:v>
      </x:c>
      <x:c r="H70" s="12" t="n">
        <x:v>3</x:v>
      </x:c>
      <x:c r="I70" s="13"/>
      <x:c r="J70" s="14"/>
      <x:c r="K70" s="10" t="str">
        <x:v>NOT RUN</x:v>
      </x:c>
      <x:c r="L70" s="2" t="str">
        <x:f>IF(K70="STALE","STALE",IF(K70="NO VERDICT","NO VERDICT",IF(K70&lt;&gt;"VALID","NOT RUN",IF(OR(NOT(ISNUMBER(I70)),I70&lt;&gt;H70,NOT(ISNUMBER(J70)),J70&lt;0,M70=""),"NO VERDICT",IF(J70&lt;=1,"PASS","FAIL")))))</x:f>
        <x:v>NOT RUN</x:v>
      </x:c>
      <x:c r="M70" s="11"/>
      <x:c r="N70" s="9" t="str">
        <x:v>Low-level stepped tones at resonance zero; compare identical input through both filter paths. Nominal cutoff region 1000 Hz, verified by measurement. A second qualified emulation is a cross-check, not a pooled target.</x:v>
      </x:c>
    </x:row>
    <x:row r="71" ht="72" customHeight="1">
      <x:c r="A71" s="2" t="str">
        <x:v>F1C</x:v>
      </x:c>
      <x:c r="B71" s="2" t="str">
        <x:v>Filters</x:v>
      </x:c>
      <x:c r="C71" s="9" t="str">
        <x:v>Cutoff response / high</x:v>
      </x:c>
      <x:c r="D71" s="9" t="str">
        <x:v>Expansion 48</x:v>
      </x:c>
      <x:c r="E71" s="2" t="str">
        <x:v>Development</x:v>
      </x:c>
      <x:c r="F71" s="9" t="str">
        <x:v>Surge Type 2 / qualified path</x:v>
      </x:c>
      <x:c r="G71" s="9" t="str">
        <x:v>Corner frequency; low-band gain; rolloff</x:v>
      </x:c>
      <x:c r="H71" s="12" t="n">
        <x:v>3</x:v>
      </x:c>
      <x:c r="I71" s="13"/>
      <x:c r="J71" s="14"/>
      <x:c r="K71" s="10" t="str">
        <x:v>NOT RUN</x:v>
      </x:c>
      <x:c r="L71" s="2" t="str">
        <x:f>IF(K71="STALE","STALE",IF(K71="NO VERDICT","NO VERDICT",IF(K71&lt;&gt;"VALID","NOT RUN",IF(OR(NOT(ISNUMBER(I71)),I71&lt;&gt;H71,NOT(ISNUMBER(J71)),J71&lt;0,M71=""),"NO VERDICT",IF(J71&lt;=1,"PASS","FAIL")))))</x:f>
        <x:v>NOT RUN</x:v>
      </x:c>
      <x:c r="M71" s="11"/>
      <x:c r="N71" s="9" t="str">
        <x:v>Low-level stepped tones at resonance zero; compare identical input through both filter paths. Nominal cutoff region 4000 Hz, verified by measurement. A second qualified emulation is a cross-check, not a pooled target.</x:v>
      </x:c>
    </x:row>
    <x:row r="72" ht="72" customHeight="1">
      <x:c r="A72" s="2" t="str">
        <x:v>F1D</x:v>
      </x:c>
      <x:c r="B72" s="2" t="str">
        <x:v>Filters</x:v>
      </x:c>
      <x:c r="C72" s="9" t="str">
        <x:v>Cutoff response / new setting</x:v>
      </x:c>
      <x:c r="D72" s="9" t="str">
        <x:v>Holdout 20</x:v>
      </x:c>
      <x:c r="E72" s="2" t="str">
        <x:v>Holdout</x:v>
      </x:c>
      <x:c r="F72" s="9" t="str">
        <x:v>Surge Type 2 / qualified path</x:v>
      </x:c>
      <x:c r="G72" s="9" t="str">
        <x:v>Corner frequency; low-band gain; rolloff</x:v>
      </x:c>
      <x:c r="H72" s="12" t="n">
        <x:v>3</x:v>
      </x:c>
      <x:c r="I72" s="13"/>
      <x:c r="J72" s="14"/>
      <x:c r="K72" s="10" t="str">
        <x:v>NOT RUN</x:v>
      </x:c>
      <x:c r="L72" s="2" t="str">
        <x:f>IF(K72="STALE","STALE",IF(K72="NO VERDICT","NO VERDICT",IF(K72&lt;&gt;"VALID","NOT RUN",IF(OR(NOT(ISNUMBER(I72)),I72&lt;&gt;H72,NOT(ISNUMBER(J72)),J72&lt;0,M72=""),"NO VERDICT",IF(J72&lt;=1,"PASS","FAIL")))))</x:f>
        <x:v>NOT RUN</x:v>
      </x:c>
      <x:c r="M72" s="11"/>
      <x:c r="N72" s="9" t="str">
        <x:v>Seal an unseen cutoff/resonance/drive trajectory. Use the calibrated mapping unchanged.</x:v>
      </x:c>
    </x:row>
    <x:row r="73" ht="72" customHeight="1">
      <x:c r="A73" s="2" t="str">
        <x:v>F2A</x:v>
      </x:c>
      <x:c r="B73" s="2" t="str">
        <x:v>Filters</x:v>
      </x:c>
      <x:c r="C73" s="9" t="str">
        <x:v>Resonance / bass / low</x:v>
      </x:c>
      <x:c r="D73" s="9" t="str">
        <x:v>First 32</x:v>
      </x:c>
      <x:c r="E73" s="2" t="str">
        <x:v>Development</x:v>
      </x:c>
      <x:c r="F73" s="9" t="str">
        <x:v>Surge Type 2 / qualified path</x:v>
      </x:c>
      <x:c r="G73" s="9" t="str">
        <x:v>Bass loss; peak frequency; peak gain</x:v>
      </x:c>
      <x:c r="H73" s="12" t="n">
        <x:v>3</x:v>
      </x:c>
      <x:c r="I73" s="13"/>
      <x:c r="J73" s="14"/>
      <x:c r="K73" s="10" t="str">
        <x:v>NOT RUN</x:v>
      </x:c>
      <x:c r="L73" s="2" t="str">
        <x:f>IF(K73="STALE","STALE",IF(K73="NO VERDICT","NO VERDICT",IF(K73&lt;&gt;"VALID","NOT RUN",IF(OR(NOT(ISNUMBER(I73)),I73&lt;&gt;H73,NOT(ISNUMBER(J73)),J73&lt;0,M73=""),"NO VERDICT",IF(J73&lt;=1,"PASS","FAIL")))))</x:f>
        <x:v>NOT RUN</x:v>
      </x:c>
      <x:c r="M73" s="11"/>
      <x:c r="N73" s="9" t="str">
        <x:v>Fixed bass-rich input and measured cutoff; sweep resonance without output normalization. Nominal cutoff region 250 Hz, verified by measurement. A second qualified emulation is a cross-check, not a pooled target.</x:v>
      </x:c>
    </x:row>
    <x:row r="74" ht="72" customHeight="1">
      <x:c r="A74" s="2" t="str">
        <x:v>F2B</x:v>
      </x:c>
      <x:c r="B74" s="2" t="str">
        <x:v>Filters</x:v>
      </x:c>
      <x:c r="C74" s="9" t="str">
        <x:v>Resonance / bass / mid</x:v>
      </x:c>
      <x:c r="D74" s="9" t="str">
        <x:v>Expansion 48</x:v>
      </x:c>
      <x:c r="E74" s="2" t="str">
        <x:v>Development</x:v>
      </x:c>
      <x:c r="F74" s="9" t="str">
        <x:v>Surge Type 2 / qualified path</x:v>
      </x:c>
      <x:c r="G74" s="9" t="str">
        <x:v>Bass loss; peak frequency; peak gain</x:v>
      </x:c>
      <x:c r="H74" s="12" t="n">
        <x:v>3</x:v>
      </x:c>
      <x:c r="I74" s="13"/>
      <x:c r="J74" s="14"/>
      <x:c r="K74" s="10" t="str">
        <x:v>NOT RUN</x:v>
      </x:c>
      <x:c r="L74" s="2" t="str">
        <x:f>IF(K74="STALE","STALE",IF(K74="NO VERDICT","NO VERDICT",IF(K74&lt;&gt;"VALID","NOT RUN",IF(OR(NOT(ISNUMBER(I74)),I74&lt;&gt;H74,NOT(ISNUMBER(J74)),J74&lt;0,M74=""),"NO VERDICT",IF(J74&lt;=1,"PASS","FAIL")))))</x:f>
        <x:v>NOT RUN</x:v>
      </x:c>
      <x:c r="M74" s="11"/>
      <x:c r="N74" s="9" t="str">
        <x:v>Fixed bass-rich input and measured cutoff; sweep resonance without output normalization. Nominal cutoff region 1000 Hz, verified by measurement. A second qualified emulation is a cross-check, not a pooled target.</x:v>
      </x:c>
    </x:row>
    <x:row r="75" ht="72" customHeight="1">
      <x:c r="A75" s="2" t="str">
        <x:v>F2C</x:v>
      </x:c>
      <x:c r="B75" s="2" t="str">
        <x:v>Filters</x:v>
      </x:c>
      <x:c r="C75" s="9" t="str">
        <x:v>Resonance / bass / high</x:v>
      </x:c>
      <x:c r="D75" s="9" t="str">
        <x:v>Expansion 48</x:v>
      </x:c>
      <x:c r="E75" s="2" t="str">
        <x:v>Development</x:v>
      </x:c>
      <x:c r="F75" s="9" t="str">
        <x:v>Surge Type 2 / qualified path</x:v>
      </x:c>
      <x:c r="G75" s="9" t="str">
        <x:v>Bass loss; peak frequency; peak gain</x:v>
      </x:c>
      <x:c r="H75" s="12" t="n">
        <x:v>3</x:v>
      </x:c>
      <x:c r="I75" s="13"/>
      <x:c r="J75" s="14"/>
      <x:c r="K75" s="10" t="str">
        <x:v>NOT RUN</x:v>
      </x:c>
      <x:c r="L75" s="2" t="str">
        <x:f>IF(K75="STALE","STALE",IF(K75="NO VERDICT","NO VERDICT",IF(K75&lt;&gt;"VALID","NOT RUN",IF(OR(NOT(ISNUMBER(I75)),I75&lt;&gt;H75,NOT(ISNUMBER(J75)),J75&lt;0,M75=""),"NO VERDICT",IF(J75&lt;=1,"PASS","FAIL")))))</x:f>
        <x:v>NOT RUN</x:v>
      </x:c>
      <x:c r="M75" s="11"/>
      <x:c r="N75" s="9" t="str">
        <x:v>Fixed bass-rich input and measured cutoff; sweep resonance without output normalization. Nominal cutoff region 4000 Hz, verified by measurement. A second qualified emulation is a cross-check, not a pooled target.</x:v>
      </x:c>
    </x:row>
    <x:row r="76" ht="72" customHeight="1">
      <x:c r="A76" s="2" t="str">
        <x:v>F2D</x:v>
      </x:c>
      <x:c r="B76" s="2" t="str">
        <x:v>Filters</x:v>
      </x:c>
      <x:c r="C76" s="9" t="str">
        <x:v>Resonance / bass / new setting</x:v>
      </x:c>
      <x:c r="D76" s="9" t="str">
        <x:v>Holdout 20</x:v>
      </x:c>
      <x:c r="E76" s="2" t="str">
        <x:v>Holdout</x:v>
      </x:c>
      <x:c r="F76" s="9" t="str">
        <x:v>Surge Type 2 / qualified path</x:v>
      </x:c>
      <x:c r="G76" s="9" t="str">
        <x:v>Bass loss; peak frequency; peak gain</x:v>
      </x:c>
      <x:c r="H76" s="12" t="n">
        <x:v>3</x:v>
      </x:c>
      <x:c r="I76" s="13"/>
      <x:c r="J76" s="14"/>
      <x:c r="K76" s="10" t="str">
        <x:v>NOT RUN</x:v>
      </x:c>
      <x:c r="L76" s="2" t="str">
        <x:f>IF(K76="STALE","STALE",IF(K76="NO VERDICT","NO VERDICT",IF(K76&lt;&gt;"VALID","NOT RUN",IF(OR(NOT(ISNUMBER(I76)),I76&lt;&gt;H76,NOT(ISNUMBER(J76)),J76&lt;0,M76=""),"NO VERDICT",IF(J76&lt;=1,"PASS","FAIL")))))</x:f>
        <x:v>NOT RUN</x:v>
      </x:c>
      <x:c r="M76" s="11"/>
      <x:c r="N76" s="9" t="str">
        <x:v>Seal an unseen cutoff/resonance/drive trajectory. Use the calibrated mapping unchanged.</x:v>
      </x:c>
    </x:row>
    <x:row r="77" ht="72" customHeight="1">
      <x:c r="A77" s="2" t="str">
        <x:v>F3A</x:v>
      </x:c>
      <x:c r="B77" s="2" t="str">
        <x:v>Filters</x:v>
      </x:c>
      <x:c r="C77" s="9" t="str">
        <x:v>Mixer / filter drive / low</x:v>
      </x:c>
      <x:c r="D77" s="9" t="str">
        <x:v>First 32</x:v>
      </x:c>
      <x:c r="E77" s="2" t="str">
        <x:v>Development</x:v>
      </x:c>
      <x:c r="F77" s="9" t="str">
        <x:v>Surge Type 2 / qualified path</x:v>
      </x:c>
      <x:c r="G77" s="9" t="str">
        <x:v>Harmonic ratios; compression; DC</x:v>
      </x:c>
      <x:c r="H77" s="12" t="n">
        <x:v>3</x:v>
      </x:c>
      <x:c r="I77" s="13"/>
      <x:c r="J77" s="14"/>
      <x:c r="K77" s="10" t="str">
        <x:v>NOT RUN</x:v>
      </x:c>
      <x:c r="L77" s="2" t="str">
        <x:f>IF(K77="STALE","STALE",IF(K77="NO VERDICT","NO VERDICT",IF(K77&lt;&gt;"VALID","NOT RUN",IF(OR(NOT(ISNUMBER(I77)),I77&lt;&gt;H77,NOT(ISNUMBER(J77)),J77&lt;0,M77=""),"NO VERDICT",IF(J77&lt;=1,"PASS","FAIL")))))</x:f>
        <x:v>NOT RUN</x:v>
      </x:c>
      <x:c r="M77" s="11"/>
      <x:c r="N77" s="9" t="str">
        <x:v>Fixed sinusoid and multitone at three stated input levels; separate mixer drive from output gain. Nominal cutoff region 250 Hz, verified by measurement. A second qualified emulation is a cross-check, not a pooled target.</x:v>
      </x:c>
    </x:row>
    <x:row r="78" ht="72" customHeight="1">
      <x:c r="A78" s="2" t="str">
        <x:v>F3B</x:v>
      </x:c>
      <x:c r="B78" s="2" t="str">
        <x:v>Filters</x:v>
      </x:c>
      <x:c r="C78" s="9" t="str">
        <x:v>Mixer / filter drive / mid</x:v>
      </x:c>
      <x:c r="D78" s="9" t="str">
        <x:v>Expansion 48</x:v>
      </x:c>
      <x:c r="E78" s="2" t="str">
        <x:v>Development</x:v>
      </x:c>
      <x:c r="F78" s="9" t="str">
        <x:v>Surge Type 2 / qualified path</x:v>
      </x:c>
      <x:c r="G78" s="9" t="str">
        <x:v>Harmonic ratios; compression; DC</x:v>
      </x:c>
      <x:c r="H78" s="12" t="n">
        <x:v>3</x:v>
      </x:c>
      <x:c r="I78" s="13"/>
      <x:c r="J78" s="14"/>
      <x:c r="K78" s="10" t="str">
        <x:v>NOT RUN</x:v>
      </x:c>
      <x:c r="L78" s="2" t="str">
        <x:f>IF(K78="STALE","STALE",IF(K78="NO VERDICT","NO VERDICT",IF(K78&lt;&gt;"VALID","NOT RUN",IF(OR(NOT(ISNUMBER(I78)),I78&lt;&gt;H78,NOT(ISNUMBER(J78)),J78&lt;0,M78=""),"NO VERDICT",IF(J78&lt;=1,"PASS","FAIL")))))</x:f>
        <x:v>NOT RUN</x:v>
      </x:c>
      <x:c r="M78" s="11"/>
      <x:c r="N78" s="9" t="str">
        <x:v>Fixed sinusoid and multitone at three stated input levels; separate mixer drive from output gain. Nominal cutoff region 1000 Hz, verified by measurement. A second qualified emulation is a cross-check, not a pooled target.</x:v>
      </x:c>
    </x:row>
    <x:row r="79" ht="72" customHeight="1">
      <x:c r="A79" s="2" t="str">
        <x:v>F3C</x:v>
      </x:c>
      <x:c r="B79" s="2" t="str">
        <x:v>Filters</x:v>
      </x:c>
      <x:c r="C79" s="9" t="str">
        <x:v>Mixer / filter drive / high</x:v>
      </x:c>
      <x:c r="D79" s="9" t="str">
        <x:v>Expansion 48</x:v>
      </x:c>
      <x:c r="E79" s="2" t="str">
        <x:v>Development</x:v>
      </x:c>
      <x:c r="F79" s="9" t="str">
        <x:v>Surge Type 2 / qualified path</x:v>
      </x:c>
      <x:c r="G79" s="9" t="str">
        <x:v>Harmonic ratios; compression; DC</x:v>
      </x:c>
      <x:c r="H79" s="12" t="n">
        <x:v>3</x:v>
      </x:c>
      <x:c r="I79" s="13"/>
      <x:c r="J79" s="14"/>
      <x:c r="K79" s="10" t="str">
        <x:v>NOT RUN</x:v>
      </x:c>
      <x:c r="L79" s="2" t="str">
        <x:f>IF(K79="STALE","STALE",IF(K79="NO VERDICT","NO VERDICT",IF(K79&lt;&gt;"VALID","NOT RUN",IF(OR(NOT(ISNUMBER(I79)),I79&lt;&gt;H79,NOT(ISNUMBER(J79)),J79&lt;0,M79=""),"NO VERDICT",IF(J79&lt;=1,"PASS","FAIL")))))</x:f>
        <x:v>NOT RUN</x:v>
      </x:c>
      <x:c r="M79" s="11"/>
      <x:c r="N79" s="9" t="str">
        <x:v>Fixed sinusoid and multitone at three stated input levels; separate mixer drive from output gain. Nominal cutoff region 4000 Hz, verified by measurement. A second qualified emulation is a cross-check, not a pooled target.</x:v>
      </x:c>
    </x:row>
    <x:row r="80" ht="72" customHeight="1">
      <x:c r="A80" s="2" t="str">
        <x:v>F3D</x:v>
      </x:c>
      <x:c r="B80" s="2" t="str">
        <x:v>Filters</x:v>
      </x:c>
      <x:c r="C80" s="9" t="str">
        <x:v>Mixer / filter drive / new setting</x:v>
      </x:c>
      <x:c r="D80" s="9" t="str">
        <x:v>Holdout 20</x:v>
      </x:c>
      <x:c r="E80" s="2" t="str">
        <x:v>Holdout</x:v>
      </x:c>
      <x:c r="F80" s="9" t="str">
        <x:v>Surge Type 2 / qualified path</x:v>
      </x:c>
      <x:c r="G80" s="9" t="str">
        <x:v>Harmonic ratios; compression; DC</x:v>
      </x:c>
      <x:c r="H80" s="12" t="n">
        <x:v>3</x:v>
      </x:c>
      <x:c r="I80" s="13"/>
      <x:c r="J80" s="14"/>
      <x:c r="K80" s="10" t="str">
        <x:v>NOT RUN</x:v>
      </x:c>
      <x:c r="L80" s="2" t="str">
        <x:f>IF(K80="STALE","STALE",IF(K80="NO VERDICT","NO VERDICT",IF(K80&lt;&gt;"VALID","NOT RUN",IF(OR(NOT(ISNUMBER(I80)),I80&lt;&gt;H80,NOT(ISNUMBER(J80)),J80&lt;0,M80=""),"NO VERDICT",IF(J80&lt;=1,"PASS","FAIL")))))</x:f>
        <x:v>NOT RUN</x:v>
      </x:c>
      <x:c r="M80" s="11"/>
      <x:c r="N80" s="9" t="str">
        <x:v>Seal an unseen cutoff/resonance/drive trajectory. Use the calibrated mapping unchanged.</x:v>
      </x:c>
    </x:row>
    <x:row r="81" ht="72" customHeight="1">
      <x:c r="A81" s="2" t="str">
        <x:v>F4A</x:v>
      </x:c>
      <x:c r="B81" s="2" t="str">
        <x:v>Filters</x:v>
      </x:c>
      <x:c r="C81" s="9" t="str">
        <x:v>Self oscillation / low</x:v>
      </x:c>
      <x:c r="D81" s="9" t="str">
        <x:v>Expansion 48</x:v>
      </x:c>
      <x:c r="E81" s="2" t="str">
        <x:v>Development</x:v>
      </x:c>
      <x:c r="F81" s="9" t="str">
        <x:v>Surge Type 2 / qualified path</x:v>
      </x:c>
      <x:c r="G81" s="9" t="str">
        <x:v>Frequency tracking; spectrum; stability</x:v>
      </x:c>
      <x:c r="H81" s="12" t="n">
        <x:v>3</x:v>
      </x:c>
      <x:c r="I81" s="13"/>
      <x:c r="J81" s="14"/>
      <x:c r="K81" s="10" t="str">
        <x:v>NOT RUN</x:v>
      </x:c>
      <x:c r="L81" s="2" t="str">
        <x:f>IF(K81="STALE","STALE",IF(K81="NO VERDICT","NO VERDICT",IF(K81&lt;&gt;"VALID","NOT RUN",IF(OR(NOT(ISNUMBER(I81)),I81&lt;&gt;H81,NOT(ISNUMBER(J81)),J81&lt;0,M81=""),"NO VERDICT",IF(J81&lt;=1,"PASS","FAIL")))))</x:f>
        <x:v>NOT RUN</x:v>
      </x:c>
      <x:c r="M81" s="11"/>
      <x:c r="N81" s="9" t="str">
        <x:v>Excite then remove input, measure steady self oscillation. VCA note-off is checked separately in Release. Nominal cutoff region 250 Hz, verified by measurement. A second qualified emulation is a cross-check, not a pooled target.</x:v>
      </x:c>
    </x:row>
    <x:row r="82" ht="72" customHeight="1">
      <x:c r="A82" s="2" t="str">
        <x:v>F4B</x:v>
      </x:c>
      <x:c r="B82" s="2" t="str">
        <x:v>Filters</x:v>
      </x:c>
      <x:c r="C82" s="9" t="str">
        <x:v>Self oscillation / mid</x:v>
      </x:c>
      <x:c r="D82" s="9" t="str">
        <x:v>Expansion 48</x:v>
      </x:c>
      <x:c r="E82" s="2" t="str">
        <x:v>Development</x:v>
      </x:c>
      <x:c r="F82" s="9" t="str">
        <x:v>Surge Type 2 / qualified path</x:v>
      </x:c>
      <x:c r="G82" s="9" t="str">
        <x:v>Frequency tracking; spectrum; stability</x:v>
      </x:c>
      <x:c r="H82" s="12" t="n">
        <x:v>3</x:v>
      </x:c>
      <x:c r="I82" s="13"/>
      <x:c r="J82" s="14"/>
      <x:c r="K82" s="10" t="str">
        <x:v>NOT RUN</x:v>
      </x:c>
      <x:c r="L82" s="2" t="str">
        <x:f>IF(K82="STALE","STALE",IF(K82="NO VERDICT","NO VERDICT",IF(K82&lt;&gt;"VALID","NOT RUN",IF(OR(NOT(ISNUMBER(I82)),I82&lt;&gt;H82,NOT(ISNUMBER(J82)),J82&lt;0,M82=""),"NO VERDICT",IF(J82&lt;=1,"PASS","FAIL")))))</x:f>
        <x:v>NOT RUN</x:v>
      </x:c>
      <x:c r="M82" s="11"/>
      <x:c r="N82" s="9" t="str">
        <x:v>Excite then remove input, measure steady self oscillation. VCA note-off is checked separately in Release. Nominal cutoff region 1000 Hz, verified by measurement. A second qualified emulation is a cross-check, not a pooled target.</x:v>
      </x:c>
    </x:row>
    <x:row r="83" ht="72" customHeight="1">
      <x:c r="A83" s="2" t="str">
        <x:v>F4C</x:v>
      </x:c>
      <x:c r="B83" s="2" t="str">
        <x:v>Filters</x:v>
      </x:c>
      <x:c r="C83" s="9" t="str">
        <x:v>Self oscillation / high</x:v>
      </x:c>
      <x:c r="D83" s="9" t="str">
        <x:v>Expansion 48</x:v>
      </x:c>
      <x:c r="E83" s="2" t="str">
        <x:v>Development</x:v>
      </x:c>
      <x:c r="F83" s="9" t="str">
        <x:v>Surge Type 2 / qualified path</x:v>
      </x:c>
      <x:c r="G83" s="9" t="str">
        <x:v>Frequency tracking; spectrum; stability</x:v>
      </x:c>
      <x:c r="H83" s="12" t="n">
        <x:v>3</x:v>
      </x:c>
      <x:c r="I83" s="13"/>
      <x:c r="J83" s="14"/>
      <x:c r="K83" s="10" t="str">
        <x:v>NOT RUN</x:v>
      </x:c>
      <x:c r="L83" s="2" t="str">
        <x:f>IF(K83="STALE","STALE",IF(K83="NO VERDICT","NO VERDICT",IF(K83&lt;&gt;"VALID","NOT RUN",IF(OR(NOT(ISNUMBER(I83)),I83&lt;&gt;H83,NOT(ISNUMBER(J83)),J83&lt;0,M83=""),"NO VERDICT",IF(J83&lt;=1,"PASS","FAIL")))))</x:f>
        <x:v>NOT RUN</x:v>
      </x:c>
      <x:c r="M83" s="11"/>
      <x:c r="N83" s="9" t="str">
        <x:v>Excite then remove input, measure steady self oscillation. VCA note-off is checked separately in Release. Nominal cutoff region 4000 Hz, verified by measurement. A second qualified emulation is a cross-check, not a pooled target.</x:v>
      </x:c>
    </x:row>
    <x:row r="84" ht="72" customHeight="1">
      <x:c r="A84" s="2" t="str">
        <x:v>F4D</x:v>
      </x:c>
      <x:c r="B84" s="2" t="str">
        <x:v>Filters</x:v>
      </x:c>
      <x:c r="C84" s="9" t="str">
        <x:v>Self oscillation / new setting</x:v>
      </x:c>
      <x:c r="D84" s="9" t="str">
        <x:v>Expansion 48</x:v>
      </x:c>
      <x:c r="E84" s="2" t="str">
        <x:v>Development</x:v>
      </x:c>
      <x:c r="F84" s="9" t="str">
        <x:v>Surge Type 2 / qualified path</x:v>
      </x:c>
      <x:c r="G84" s="9" t="str">
        <x:v>Frequency tracking; spectrum; stability</x:v>
      </x:c>
      <x:c r="H84" s="12" t="n">
        <x:v>3</x:v>
      </x:c>
      <x:c r="I84" s="13"/>
      <x:c r="J84" s="14"/>
      <x:c r="K84" s="10" t="str">
        <x:v>NOT RUN</x:v>
      </x:c>
      <x:c r="L84" s="2" t="str">
        <x:f>IF(K84="STALE","STALE",IF(K84="NO VERDICT","NO VERDICT",IF(K84&lt;&gt;"VALID","NOT RUN",IF(OR(NOT(ISNUMBER(I84)),I84&lt;&gt;H84,NOT(ISNUMBER(J84)),J84&lt;0,M84=""),"NO VERDICT",IF(J84&lt;=1,"PASS","FAIL")))))</x:f>
        <x:v>NOT RUN</x:v>
      </x:c>
      <x:c r="M84" s="11"/>
      <x:c r="N84" s="9" t="str">
        <x:v>Excite then remove input, measure steady self oscillation. VCA note-off is checked separately in Release. Nominal cutoff region 1500 Hz, verified by measurement. A second qualified emulation is a cross-check, not a pooled target.</x:v>
      </x:c>
    </x:row>
    <x:row r="85" ht="72" customHeight="1">
      <x:c r="A85" s="2" t="str">
        <x:v>F5A</x:v>
      </x:c>
      <x:c r="B85" s="2" t="str">
        <x:v>Filters</x:v>
      </x:c>
      <x:c r="C85" s="9" t="str">
        <x:v>Cutoff motion / low</x:v>
      </x:c>
      <x:c r="D85" s="9" t="str">
        <x:v>First 32</x:v>
      </x:c>
      <x:c r="E85" s="2" t="str">
        <x:v>Development</x:v>
      </x:c>
      <x:c r="F85" s="9" t="str">
        <x:v>Surge Type 2 / qualified path</x:v>
      </x:c>
      <x:c r="G85" s="9" t="str">
        <x:v>Tracking; modulation sidebands; stepping</x:v>
      </x:c>
      <x:c r="H85" s="12" t="n">
        <x:v>3</x:v>
      </x:c>
      <x:c r="I85" s="13"/>
      <x:c r="J85" s="14"/>
      <x:c r="K85" s="10" t="str">
        <x:v>NOT RUN</x:v>
      </x:c>
      <x:c r="L85" s="2" t="str">
        <x:f>IF(K85="STALE","STALE",IF(K85="NO VERDICT","NO VERDICT",IF(K85&lt;&gt;"VALID","NOT RUN",IF(OR(NOT(ISNUMBER(I85)),I85&lt;&gt;H85,NOT(ISNUMBER(J85)),J85&lt;0,M85=""),"NO VERDICT",IF(J85&lt;=1,"PASS","FAIL")))))</x:f>
        <x:v>NOT RUN</x:v>
      </x:c>
      <x:c r="M85" s="11"/>
      <x:c r="N85" s="9" t="str">
        <x:v>Identical held input with slow and fast cutoff trajectories; pin host automation block size. Nominal cutoff region 250 Hz, verified by measurement. A second qualified emulation is a cross-check, not a pooled target.</x:v>
      </x:c>
    </x:row>
    <x:row r="86" ht="72" customHeight="1">
      <x:c r="A86" s="2" t="str">
        <x:v>F5B</x:v>
      </x:c>
      <x:c r="B86" s="2" t="str">
        <x:v>Filters</x:v>
      </x:c>
      <x:c r="C86" s="9" t="str">
        <x:v>Cutoff motion / mid</x:v>
      </x:c>
      <x:c r="D86" s="9" t="str">
        <x:v>Expansion 48</x:v>
      </x:c>
      <x:c r="E86" s="2" t="str">
        <x:v>Development</x:v>
      </x:c>
      <x:c r="F86" s="9" t="str">
        <x:v>Surge Type 2 / qualified path</x:v>
      </x:c>
      <x:c r="G86" s="9" t="str">
        <x:v>Tracking; modulation sidebands; stepping</x:v>
      </x:c>
      <x:c r="H86" s="12" t="n">
        <x:v>3</x:v>
      </x:c>
      <x:c r="I86" s="13"/>
      <x:c r="J86" s="14"/>
      <x:c r="K86" s="10" t="str">
        <x:v>NOT RUN</x:v>
      </x:c>
      <x:c r="L86" s="2" t="str">
        <x:f>IF(K86="STALE","STALE",IF(K86="NO VERDICT","NO VERDICT",IF(K86&lt;&gt;"VALID","NOT RUN",IF(OR(NOT(ISNUMBER(I86)),I86&lt;&gt;H86,NOT(ISNUMBER(J86)),J86&lt;0,M86=""),"NO VERDICT",IF(J86&lt;=1,"PASS","FAIL")))))</x:f>
        <x:v>NOT RUN</x:v>
      </x:c>
      <x:c r="M86" s="11"/>
      <x:c r="N86" s="9" t="str">
        <x:v>Identical held input with slow and fast cutoff trajectories; pin host automation block size. Nominal cutoff region 1000 Hz, verified by measurement. A second qualified emulation is a cross-check, not a pooled target.</x:v>
      </x:c>
    </x:row>
    <x:row r="87" ht="72" customHeight="1">
      <x:c r="A87" s="2" t="str">
        <x:v>F5C</x:v>
      </x:c>
      <x:c r="B87" s="2" t="str">
        <x:v>Filters</x:v>
      </x:c>
      <x:c r="C87" s="9" t="str">
        <x:v>Cutoff motion / high</x:v>
      </x:c>
      <x:c r="D87" s="9" t="str">
        <x:v>Expansion 48</x:v>
      </x:c>
      <x:c r="E87" s="2" t="str">
        <x:v>Development</x:v>
      </x:c>
      <x:c r="F87" s="9" t="str">
        <x:v>Surge Type 2 / qualified path</x:v>
      </x:c>
      <x:c r="G87" s="9" t="str">
        <x:v>Tracking; modulation sidebands; stepping</x:v>
      </x:c>
      <x:c r="H87" s="12" t="n">
        <x:v>3</x:v>
      </x:c>
      <x:c r="I87" s="13"/>
      <x:c r="J87" s="14"/>
      <x:c r="K87" s="10" t="str">
        <x:v>NOT RUN</x:v>
      </x:c>
      <x:c r="L87" s="2" t="str">
        <x:f>IF(K87="STALE","STALE",IF(K87="NO VERDICT","NO VERDICT",IF(K87&lt;&gt;"VALID","NOT RUN",IF(OR(NOT(ISNUMBER(I87)),I87&lt;&gt;H87,NOT(ISNUMBER(J87)),J87&lt;0,M87=""),"NO VERDICT",IF(J87&lt;=1,"PASS","FAIL")))))</x:f>
        <x:v>NOT RUN</x:v>
      </x:c>
      <x:c r="M87" s="11"/>
      <x:c r="N87" s="9" t="str">
        <x:v>Identical held input with slow and fast cutoff trajectories; pin host automation block size. Nominal cutoff region 4000 Hz, verified by measurement. A second qualified emulation is a cross-check, not a pooled target.</x:v>
      </x:c>
    </x:row>
    <x:row r="88" ht="72" customHeight="1">
      <x:c r="A88" s="2" t="str">
        <x:v>F5D</x:v>
      </x:c>
      <x:c r="B88" s="2" t="str">
        <x:v>Filters</x:v>
      </x:c>
      <x:c r="C88" s="9" t="str">
        <x:v>Cutoff motion / new setting</x:v>
      </x:c>
      <x:c r="D88" s="9" t="str">
        <x:v>Holdout 20</x:v>
      </x:c>
      <x:c r="E88" s="2" t="str">
        <x:v>Holdout</x:v>
      </x:c>
      <x:c r="F88" s="9" t="str">
        <x:v>Surge Type 2 / qualified path</x:v>
      </x:c>
      <x:c r="G88" s="9" t="str">
        <x:v>Tracking; modulation sidebands; stepping</x:v>
      </x:c>
      <x:c r="H88" s="12" t="n">
        <x:v>3</x:v>
      </x:c>
      <x:c r="I88" s="13"/>
      <x:c r="J88" s="14"/>
      <x:c r="K88" s="10" t="str">
        <x:v>NOT RUN</x:v>
      </x:c>
      <x:c r="L88" s="2" t="str">
        <x:f>IF(K88="STALE","STALE",IF(K88="NO VERDICT","NO VERDICT",IF(K88&lt;&gt;"VALID","NOT RUN",IF(OR(NOT(ISNUMBER(I88)),I88&lt;&gt;H88,NOT(ISNUMBER(J88)),J88&lt;0,M88=""),"NO VERDICT",IF(J88&lt;=1,"PASS","FAIL")))))</x:f>
        <x:v>NOT RUN</x:v>
      </x:c>
      <x:c r="M88" s="11"/>
      <x:c r="N88" s="9" t="str">
        <x:v>Seal an unseen cutoff/resonance/drive trajectory. Use the calibrated mapping unchanged.</x:v>
      </x:c>
    </x:row>
    <x:row r="89" ht="72" customHeight="1">
      <x:c r="A89" s="2" t="str">
        <x:v>F6A</x:v>
      </x:c>
      <x:c r="B89" s="2" t="str">
        <x:v>Filters</x:v>
      </x:c>
      <x:c r="C89" s="9" t="str">
        <x:v>Audio-rate modulation / low</x:v>
      </x:c>
      <x:c r="D89" s="9" t="str">
        <x:v>Expansion 48</x:v>
      </x:c>
      <x:c r="E89" s="2" t="str">
        <x:v>Development</x:v>
      </x:c>
      <x:c r="F89" s="9" t="str">
        <x:v>Surge Type 2 / qualified path</x:v>
      </x:c>
      <x:c r="G89" s="9" t="str">
        <x:v>Sidebands; foldback; stability</x:v>
      </x:c>
      <x:c r="H89" s="12" t="n">
        <x:v>3</x:v>
      </x:c>
      <x:c r="I89" s="13"/>
      <x:c r="J89" s="14"/>
      <x:c r="K89" s="10" t="str">
        <x:v>NOT RUN</x:v>
      </x:c>
      <x:c r="L89" s="2" t="str">
        <x:f>IF(K89="STALE","STALE",IF(K89="NO VERDICT","NO VERDICT",IF(K89&lt;&gt;"VALID","NOT RUN",IF(OR(NOT(ISNUMBER(I89)),I89&lt;&gt;H89,NOT(ISNUMBER(J89)),J89&lt;0,M89=""),"NO VERDICT",IF(J89&lt;=1,"PASS","FAIL")))))</x:f>
        <x:v>NOT RUN</x:v>
      </x:c>
      <x:c r="M89" s="11"/>
      <x:c r="N89" s="9" t="str">
        <x:v>Identical modulated stimulus/control trace where the reference supports it; pin modulation rate and depth. Nominal cutoff region 250 Hz, verified by measurement. A second qualified emulation is a cross-check, not a pooled target.</x:v>
      </x:c>
    </x:row>
    <x:row r="90" ht="72" customHeight="1">
      <x:c r="A90" s="2" t="str">
        <x:v>F6B</x:v>
      </x:c>
      <x:c r="B90" s="2" t="str">
        <x:v>Filters</x:v>
      </x:c>
      <x:c r="C90" s="9" t="str">
        <x:v>Audio-rate modulation / mid</x:v>
      </x:c>
      <x:c r="D90" s="9" t="str">
        <x:v>Expansion 48</x:v>
      </x:c>
      <x:c r="E90" s="2" t="str">
        <x:v>Development</x:v>
      </x:c>
      <x:c r="F90" s="9" t="str">
        <x:v>Surge Type 2 / qualified path</x:v>
      </x:c>
      <x:c r="G90" s="9" t="str">
        <x:v>Sidebands; foldback; stability</x:v>
      </x:c>
      <x:c r="H90" s="12" t="n">
        <x:v>3</x:v>
      </x:c>
      <x:c r="I90" s="13"/>
      <x:c r="J90" s="14"/>
      <x:c r="K90" s="10" t="str">
        <x:v>NOT RUN</x:v>
      </x:c>
      <x:c r="L90" s="2" t="str">
        <x:f>IF(K90="STALE","STALE",IF(K90="NO VERDICT","NO VERDICT",IF(K90&lt;&gt;"VALID","NOT RUN",IF(OR(NOT(ISNUMBER(I90)),I90&lt;&gt;H90,NOT(ISNUMBER(J90)),J90&lt;0,M90=""),"NO VERDICT",IF(J90&lt;=1,"PASS","FAIL")))))</x:f>
        <x:v>NOT RUN</x:v>
      </x:c>
      <x:c r="M90" s="11"/>
      <x:c r="N90" s="9" t="str">
        <x:v>Identical modulated stimulus/control trace where the reference supports it; pin modulation rate and depth. Nominal cutoff region 1000 Hz, verified by measurement. A second qualified emulation is a cross-check, not a pooled target.</x:v>
      </x:c>
    </x:row>
    <x:row r="91" ht="72" customHeight="1">
      <x:c r="A91" s="2" t="str">
        <x:v>F6C</x:v>
      </x:c>
      <x:c r="B91" s="2" t="str">
        <x:v>Filters</x:v>
      </x:c>
      <x:c r="C91" s="9" t="str">
        <x:v>Audio-rate modulation / high</x:v>
      </x:c>
      <x:c r="D91" s="9" t="str">
        <x:v>Expansion 48</x:v>
      </x:c>
      <x:c r="E91" s="2" t="str">
        <x:v>Development</x:v>
      </x:c>
      <x:c r="F91" s="9" t="str">
        <x:v>Surge Type 2 / qualified path</x:v>
      </x:c>
      <x:c r="G91" s="9" t="str">
        <x:v>Sidebands; foldback; stability</x:v>
      </x:c>
      <x:c r="H91" s="12" t="n">
        <x:v>3</x:v>
      </x:c>
      <x:c r="I91" s="13"/>
      <x:c r="J91" s="14"/>
      <x:c r="K91" s="10" t="str">
        <x:v>NOT RUN</x:v>
      </x:c>
      <x:c r="L91" s="2" t="str">
        <x:f>IF(K91="STALE","STALE",IF(K91="NO VERDICT","NO VERDICT",IF(K91&lt;&gt;"VALID","NOT RUN",IF(OR(NOT(ISNUMBER(I91)),I91&lt;&gt;H91,NOT(ISNUMBER(J91)),J91&lt;0,M91=""),"NO VERDICT",IF(J91&lt;=1,"PASS","FAIL")))))</x:f>
        <x:v>NOT RUN</x:v>
      </x:c>
      <x:c r="M91" s="11"/>
      <x:c r="N91" s="9" t="str">
        <x:v>Identical modulated stimulus/control trace where the reference supports it; pin modulation rate and depth. Nominal cutoff region 4000 Hz, verified by measurement. A second qualified emulation is a cross-check, not a pooled target.</x:v>
      </x:c>
    </x:row>
    <x:row r="92" ht="72" customHeight="1">
      <x:c r="A92" s="2" t="str">
        <x:v>F6D</x:v>
      </x:c>
      <x:c r="B92" s="2" t="str">
        <x:v>Filters</x:v>
      </x:c>
      <x:c r="C92" s="9" t="str">
        <x:v>Audio-rate modulation / new setting</x:v>
      </x:c>
      <x:c r="D92" s="9" t="str">
        <x:v>Expansion 48</x:v>
      </x:c>
      <x:c r="E92" s="2" t="str">
        <x:v>Development</x:v>
      </x:c>
      <x:c r="F92" s="9" t="str">
        <x:v>Surge Type 2 / qualified path</x:v>
      </x:c>
      <x:c r="G92" s="9" t="str">
        <x:v>Sidebands; foldback; stability</x:v>
      </x:c>
      <x:c r="H92" s="12" t="n">
        <x:v>3</x:v>
      </x:c>
      <x:c r="I92" s="13"/>
      <x:c r="J92" s="14"/>
      <x:c r="K92" s="10" t="str">
        <x:v>NOT RUN</x:v>
      </x:c>
      <x:c r="L92" s="2" t="str">
        <x:f>IF(K92="STALE","STALE",IF(K92="NO VERDICT","NO VERDICT",IF(K92&lt;&gt;"VALID","NOT RUN",IF(OR(NOT(ISNUMBER(I92)),I92&lt;&gt;H92,NOT(ISNUMBER(J92)),J92&lt;0,M92=""),"NO VERDICT",IF(J92&lt;=1,"PASS","FAIL")))))</x:f>
        <x:v>NOT RUN</x:v>
      </x:c>
      <x:c r="M92" s="11"/>
      <x:c r="N92" s="9" t="str">
        <x:v>Identical modulated stimulus/control trace where the reference supports it; pin modulation rate and depth. Nominal cutoff region 1500 Hz, verified by measurement. A second qualified emulation is a cross-check, not a pooled target.</x:v>
      </x:c>
    </x:row>
    <x:row r="93" ht="72" customHeight="1">
      <x:c r="A93" s="2" t="str">
        <x:v>E1A</x:v>
      </x:c>
      <x:c r="B93" s="2" t="str">
        <x:v>Ensemble</x:v>
      </x:c>
      <x:c r="C93" s="9" t="str">
        <x:v>Bass and kit / sparse</x:v>
      </x:c>
      <x:c r="D93" s="9" t="str">
        <x:v>First 32</x:v>
      </x:c>
      <x:c r="E93" s="2" t="str">
        <x:v>Development</x:v>
      </x:c>
      <x:c r="F93" s="9" t="str">
        <x:v>Qualified mono and drum stems</x:v>
      </x:c>
      <x:c r="G93" s="9" t="str">
        <x:v>Event timing; bus balance; output artifacts</x:v>
      </x:c>
      <x:c r="H93" s="12" t="n">
        <x:v>3</x:v>
      </x:c>
      <x:c r="I93" s="13"/>
      <x:c r="J93" s="14"/>
      <x:c r="K93" s="10" t="str">
        <x:v>NOT RUN</x:v>
      </x:c>
      <x:c r="L93" s="2" t="str">
        <x:f>IF(K93="STALE","STALE",IF(K93="NO VERDICT","NO VERDICT",IF(K93&lt;&gt;"VALID","NOT RUN",IF(OR(NOT(ISNUMBER(I93)),I93&lt;&gt;H93,NOT(ISNUMBER(J93)),J93&lt;0,M93=""),"NO VERDICT",IF(J93&lt;=1,"PASS","FAIL")))))</x:f>
        <x:v>NOT RUN</x:v>
      </x:c>
      <x:c r="M93" s="11"/>
      <x:c r="N93" s="9" t="str">
        <x:v>Mono bass with all available 808 parts, including accents and hat choke. Two bars at 124 BPM plus full release; sparse arrangement. No mastering limiter. Preserve per-bus stems and raw final output.</x:v>
      </x:c>
    </x:row>
    <x:row r="94" ht="72" customHeight="1">
      <x:c r="A94" s="2" t="str">
        <x:v>E1B</x:v>
      </x:c>
      <x:c r="B94" s="2" t="str">
        <x:v>Ensemble</x:v>
      </x:c>
      <x:c r="C94" s="9" t="str">
        <x:v>Bass and kit / dense</x:v>
      </x:c>
      <x:c r="D94" s="9" t="str">
        <x:v>First 32</x:v>
      </x:c>
      <x:c r="E94" s="2" t="str">
        <x:v>Development</x:v>
      </x:c>
      <x:c r="F94" s="9" t="str">
        <x:v>Qualified mono and drum stems</x:v>
      </x:c>
      <x:c r="G94" s="9" t="str">
        <x:v>Event timing; bus balance; output artifacts</x:v>
      </x:c>
      <x:c r="H94" s="12" t="n">
        <x:v>3</x:v>
      </x:c>
      <x:c r="I94" s="13"/>
      <x:c r="J94" s="14"/>
      <x:c r="K94" s="10" t="str">
        <x:v>NOT RUN</x:v>
      </x:c>
      <x:c r="L94" s="2" t="str">
        <x:f>IF(K94="STALE","STALE",IF(K94="NO VERDICT","NO VERDICT",IF(K94&lt;&gt;"VALID","NOT RUN",IF(OR(NOT(ISNUMBER(I94)),I94&lt;&gt;H94,NOT(ISNUMBER(J94)),J94&lt;0,M94=""),"NO VERDICT",IF(J94&lt;=1,"PASS","FAIL")))))</x:f>
        <x:v>NOT RUN</x:v>
      </x:c>
      <x:c r="M94" s="11"/>
      <x:c r="N94" s="9" t="str">
        <x:v>Mono bass with all available 808 parts, including accents and hat choke. Two bars at 124 BPM plus full release; dense arrangement and coincident hits. No mastering limiter. Preserve per-bus stems and raw final output.</x:v>
      </x:c>
    </x:row>
    <x:row r="95" ht="72" customHeight="1">
      <x:c r="A95" s="2" t="str">
        <x:v>E1C</x:v>
      </x:c>
      <x:c r="B95" s="2" t="str">
        <x:v>Ensemble</x:v>
      </x:c>
      <x:c r="C95" s="9" t="str">
        <x:v>Bass and kit / live controls</x:v>
      </x:c>
      <x:c r="D95" s="9" t="str">
        <x:v>Expansion 48</x:v>
      </x:c>
      <x:c r="E95" s="2" t="str">
        <x:v>Development</x:v>
      </x:c>
      <x:c r="F95" s="9" t="str">
        <x:v>Qualified mono and drum stems</x:v>
      </x:c>
      <x:c r="G95" s="9" t="str">
        <x:v>Event timing; bus balance; output artifacts</x:v>
      </x:c>
      <x:c r="H95" s="12" t="n">
        <x:v>3</x:v>
      </x:c>
      <x:c r="I95" s="13"/>
      <x:c r="J95" s="14"/>
      <x:c r="K95" s="10" t="str">
        <x:v>NOT RUN</x:v>
      </x:c>
      <x:c r="L95" s="2" t="str">
        <x:f>IF(K95="STALE","STALE",IF(K95="NO VERDICT","NO VERDICT",IF(K95&lt;&gt;"VALID","NOT RUN",IF(OR(NOT(ISNUMBER(I95)),I95&lt;&gt;H95,NOT(ISNUMBER(J95)),J95&lt;0,M95=""),"NO VERDICT",IF(J95&lt;=1,"PASS","FAIL")))))</x:f>
        <x:v>NOT RUN</x:v>
      </x:c>
      <x:c r="M95" s="11"/>
      <x:c r="N95" s="9" t="str">
        <x:v>Mono bass with all available 808 parts, including accents and hat choke. Two bars at 124 BPM plus full release; cutoff/resonance performance. No mastering limiter. Preserve per-bus stems and raw final output.</x:v>
      </x:c>
    </x:row>
    <x:row r="96" ht="72" customHeight="1">
      <x:c r="A96" s="2" t="str">
        <x:v>E1D</x:v>
      </x:c>
      <x:c r="B96" s="2" t="str">
        <x:v>Ensemble</x:v>
      </x:c>
      <x:c r="C96" s="9" t="str">
        <x:v>Bass and kit / new phrase</x:v>
      </x:c>
      <x:c r="D96" s="9" t="str">
        <x:v>Holdout 20</x:v>
      </x:c>
      <x:c r="E96" s="2" t="str">
        <x:v>Holdout</x:v>
      </x:c>
      <x:c r="F96" s="9" t="str">
        <x:v>Qualified mono and drum stems</x:v>
      </x:c>
      <x:c r="G96" s="9" t="str">
        <x:v>Event timing; bus balance; output artifacts</x:v>
      </x:c>
      <x:c r="H96" s="12" t="n">
        <x:v>3</x:v>
      </x:c>
      <x:c r="I96" s="13"/>
      <x:c r="J96" s="14"/>
      <x:c r="K96" s="10" t="str">
        <x:v>NOT RUN</x:v>
      </x:c>
      <x:c r="L96" s="2" t="str">
        <x:f>IF(K96="STALE","STALE",IF(K96="NO VERDICT","NO VERDICT",IF(K96&lt;&gt;"VALID","NOT RUN",IF(OR(NOT(ISNUMBER(I96)),I96&lt;&gt;H96,NOT(ISNUMBER(J96)),J96&lt;0,M96=""),"NO VERDICT",IF(J96&lt;=1,"PASS","FAIL")))))</x:f>
        <x:v>NOT RUN</x:v>
      </x:c>
      <x:c r="M96" s="11"/>
      <x:c r="N96" s="9" t="str">
        <x:v>Reserve an unseen phrase and interaction pattern. Render reference stems with the same event schedule and declared mix gains.</x:v>
      </x:c>
    </x:row>
    <x:row r="97" ht="72" customHeight="1">
      <x:c r="A97" s="2" t="str">
        <x:v>E2A</x:v>
      </x:c>
      <x:c r="B97" s="2" t="str">
        <x:v>Ensemble</x:v>
      </x:c>
      <x:c r="C97" s="9" t="str">
        <x:v>Lead and kit / sparse</x:v>
      </x:c>
      <x:c r="D97" s="9" t="str">
        <x:v>First 32</x:v>
      </x:c>
      <x:c r="E97" s="2" t="str">
        <x:v>Development</x:v>
      </x:c>
      <x:c r="F97" s="9" t="str">
        <x:v>Qualified mono and drum stems</x:v>
      </x:c>
      <x:c r="G97" s="9" t="str">
        <x:v>Event timing; bus balance; output artifacts</x:v>
      </x:c>
      <x:c r="H97" s="12" t="n">
        <x:v>3</x:v>
      </x:c>
      <x:c r="I97" s="13"/>
      <x:c r="J97" s="14"/>
      <x:c r="K97" s="10" t="str">
        <x:v>NOT RUN</x:v>
      </x:c>
      <x:c r="L97" s="2" t="str">
        <x:f>IF(K97="STALE","STALE",IF(K97="NO VERDICT","NO VERDICT",IF(K97&lt;&gt;"VALID","NOT RUN",IF(OR(NOT(ISNUMBER(I97)),I97&lt;&gt;H97,NOT(ISNUMBER(J97)),J97&lt;0,M97=""),"NO VERDICT",IF(J97&lt;=1,"PASS","FAIL")))))</x:f>
        <x:v>NOT RUN</x:v>
      </x:c>
      <x:c r="M97" s="11"/>
      <x:c r="N97" s="9" t="str">
        <x:v>Legato lead over a drum groove, with note releases and an exposed snare. Two bars at 124 BPM plus full release; sparse arrangement. No mastering limiter. Preserve per-bus stems and raw final output.</x:v>
      </x:c>
    </x:row>
    <x:row r="98" ht="72" customHeight="1">
      <x:c r="A98" s="2" t="str">
        <x:v>E2B</x:v>
      </x:c>
      <x:c r="B98" s="2" t="str">
        <x:v>Ensemble</x:v>
      </x:c>
      <x:c r="C98" s="9" t="str">
        <x:v>Lead and kit / dense</x:v>
      </x:c>
      <x:c r="D98" s="9" t="str">
        <x:v>Expansion 48</x:v>
      </x:c>
      <x:c r="E98" s="2" t="str">
        <x:v>Development</x:v>
      </x:c>
      <x:c r="F98" s="9" t="str">
        <x:v>Qualified mono and drum stems</x:v>
      </x:c>
      <x:c r="G98" s="9" t="str">
        <x:v>Event timing; bus balance; output artifacts</x:v>
      </x:c>
      <x:c r="H98" s="12" t="n">
        <x:v>3</x:v>
      </x:c>
      <x:c r="I98" s="13"/>
      <x:c r="J98" s="14"/>
      <x:c r="K98" s="10" t="str">
        <x:v>NOT RUN</x:v>
      </x:c>
      <x:c r="L98" s="2" t="str">
        <x:f>IF(K98="STALE","STALE",IF(K98="NO VERDICT","NO VERDICT",IF(K98&lt;&gt;"VALID","NOT RUN",IF(OR(NOT(ISNUMBER(I98)),I98&lt;&gt;H98,NOT(ISNUMBER(J98)),J98&lt;0,M98=""),"NO VERDICT",IF(J98&lt;=1,"PASS","FAIL")))))</x:f>
        <x:v>NOT RUN</x:v>
      </x:c>
      <x:c r="M98" s="11"/>
      <x:c r="N98" s="9" t="str">
        <x:v>Legato lead over a drum groove, with note releases and an exposed snare. Two bars at 124 BPM plus full release; dense arrangement and coincident hits. No mastering limiter. Preserve per-bus stems and raw final output.</x:v>
      </x:c>
    </x:row>
    <x:row r="99" ht="72" customHeight="1">
      <x:c r="A99" s="2" t="str">
        <x:v>E2C</x:v>
      </x:c>
      <x:c r="B99" s="2" t="str">
        <x:v>Ensemble</x:v>
      </x:c>
      <x:c r="C99" s="9" t="str">
        <x:v>Lead and kit / live controls</x:v>
      </x:c>
      <x:c r="D99" s="9" t="str">
        <x:v>Expansion 48</x:v>
      </x:c>
      <x:c r="E99" s="2" t="str">
        <x:v>Development</x:v>
      </x:c>
      <x:c r="F99" s="9" t="str">
        <x:v>Qualified mono and drum stems</x:v>
      </x:c>
      <x:c r="G99" s="9" t="str">
        <x:v>Event timing; bus balance; output artifacts</x:v>
      </x:c>
      <x:c r="H99" s="12" t="n">
        <x:v>3</x:v>
      </x:c>
      <x:c r="I99" s="13"/>
      <x:c r="J99" s="14"/>
      <x:c r="K99" s="10" t="str">
        <x:v>NOT RUN</x:v>
      </x:c>
      <x:c r="L99" s="2" t="str">
        <x:f>IF(K99="STALE","STALE",IF(K99="NO VERDICT","NO VERDICT",IF(K99&lt;&gt;"VALID","NOT RUN",IF(OR(NOT(ISNUMBER(I99)),I99&lt;&gt;H99,NOT(ISNUMBER(J99)),J99&lt;0,M99=""),"NO VERDICT",IF(J99&lt;=1,"PASS","FAIL")))))</x:f>
        <x:v>NOT RUN</x:v>
      </x:c>
      <x:c r="M99" s="11"/>
      <x:c r="N99" s="9" t="str">
        <x:v>Legato lead over a drum groove, with note releases and an exposed snare. Two bars at 124 BPM plus full release; cutoff/resonance performance. No mastering limiter. Preserve per-bus stems and raw final output.</x:v>
      </x:c>
    </x:row>
    <x:row r="100" ht="72" customHeight="1">
      <x:c r="A100" s="2" t="str">
        <x:v>E2D</x:v>
      </x:c>
      <x:c r="B100" s="2" t="str">
        <x:v>Ensemble</x:v>
      </x:c>
      <x:c r="C100" s="9" t="str">
        <x:v>Lead and kit / new phrase</x:v>
      </x:c>
      <x:c r="D100" s="9" t="str">
        <x:v>Holdout 20</x:v>
      </x:c>
      <x:c r="E100" s="2" t="str">
        <x:v>Holdout</x:v>
      </x:c>
      <x:c r="F100" s="9" t="str">
        <x:v>Qualified mono and drum stems</x:v>
      </x:c>
      <x:c r="G100" s="9" t="str">
        <x:v>Event timing; bus balance; output artifacts</x:v>
      </x:c>
      <x:c r="H100" s="12" t="n">
        <x:v>3</x:v>
      </x:c>
      <x:c r="I100" s="13"/>
      <x:c r="J100" s="14"/>
      <x:c r="K100" s="10" t="str">
        <x:v>NOT RUN</x:v>
      </x:c>
      <x:c r="L100" s="2" t="str">
        <x:f>IF(K100="STALE","STALE",IF(K100="NO VERDICT","NO VERDICT",IF(K100&lt;&gt;"VALID","NOT RUN",IF(OR(NOT(ISNUMBER(I100)),I100&lt;&gt;H100,NOT(ISNUMBER(J100)),J100&lt;0,M100=""),"NO VERDICT",IF(J100&lt;=1,"PASS","FAIL")))))</x:f>
        <x:v>NOT RUN</x:v>
      </x:c>
      <x:c r="M100" s="11"/>
      <x:c r="N100" s="9" t="str">
        <x:v>Reserve an unseen phrase and interaction pattern. Render reference stems with the same event schedule and declared mix gains.</x:v>
      </x:c>
    </x:row>
    <x:row r="101" ht="72" customHeight="1">
      <x:c r="A101" s="2" t="str">
        <x:v>E3A</x:v>
      </x:c>
      <x:c r="B101" s="2" t="str">
        <x:v>Ensemble</x:v>
      </x:c>
      <x:c r="C101" s="9" t="str">
        <x:v>Noise / modulation and kit / sparse</x:v>
      </x:c>
      <x:c r="D101" s="9" t="str">
        <x:v>First 32</x:v>
      </x:c>
      <x:c r="E101" s="2" t="str">
        <x:v>Development</x:v>
      </x:c>
      <x:c r="F101" s="9" t="str">
        <x:v>Qualified mono and drum stems</x:v>
      </x:c>
      <x:c r="G101" s="9" t="str">
        <x:v>Event timing; bus balance; output artifacts</x:v>
      </x:c>
      <x:c r="H101" s="12" t="n">
        <x:v>3</x:v>
      </x:c>
      <x:c r="I101" s="13"/>
      <x:c r="J101" s="14"/>
      <x:c r="K101" s="10" t="str">
        <x:v>NOT RUN</x:v>
      </x:c>
      <x:c r="L101" s="2" t="str">
        <x:f>IF(K101="STALE","STALE",IF(K101="NO VERDICT","NO VERDICT",IF(K101&lt;&gt;"VALID","NOT RUN",IF(OR(NOT(ISNUMBER(I101)),I101&lt;&gt;H101,NOT(ISNUMBER(J101)),J101&lt;0,M101=""),"NO VERDICT",IF(J101&lt;=1,"PASS","FAIL")))))</x:f>
        <x:v>NOT RUN</x:v>
      </x:c>
      <x:c r="M101" s="11"/>
      <x:c r="N101" s="9" t="str">
        <x:v>Noise or oscillator-3 effects over a groove, then an abrupt all-notes-off. Two bars at 124 BPM plus full release; sparse arrangement. No mastering limiter. Preserve per-bus stems and raw final output.</x:v>
      </x:c>
    </x:row>
    <x:row r="102" ht="72" customHeight="1">
      <x:c r="A102" s="2" t="str">
        <x:v>E3B</x:v>
      </x:c>
      <x:c r="B102" s="2" t="str">
        <x:v>Ensemble</x:v>
      </x:c>
      <x:c r="C102" s="9" t="str">
        <x:v>Noise / modulation and kit / dense</x:v>
      </x:c>
      <x:c r="D102" s="9" t="str">
        <x:v>Expansion 48</x:v>
      </x:c>
      <x:c r="E102" s="2" t="str">
        <x:v>Development</x:v>
      </x:c>
      <x:c r="F102" s="9" t="str">
        <x:v>Qualified mono and drum stems</x:v>
      </x:c>
      <x:c r="G102" s="9" t="str">
        <x:v>Event timing; bus balance; output artifacts</x:v>
      </x:c>
      <x:c r="H102" s="12" t="n">
        <x:v>3</x:v>
      </x:c>
      <x:c r="I102" s="13"/>
      <x:c r="J102" s="14"/>
      <x:c r="K102" s="10" t="str">
        <x:v>NOT RUN</x:v>
      </x:c>
      <x:c r="L102" s="2" t="str">
        <x:f>IF(K102="STALE","STALE",IF(K102="NO VERDICT","NO VERDICT",IF(K102&lt;&gt;"VALID","NOT RUN",IF(OR(NOT(ISNUMBER(I102)),I102&lt;&gt;H102,NOT(ISNUMBER(J102)),J102&lt;0,M102=""),"NO VERDICT",IF(J102&lt;=1,"PASS","FAIL")))))</x:f>
        <x:v>NOT RUN</x:v>
      </x:c>
      <x:c r="M102" s="11"/>
      <x:c r="N102" s="9" t="str">
        <x:v>Noise or oscillator-3 effects over a groove, then an abrupt all-notes-off. Two bars at 124 BPM plus full release; dense arrangement and coincident hits. No mastering limiter. Preserve per-bus stems and raw final output.</x:v>
      </x:c>
    </x:row>
    <x:row r="103" ht="72" customHeight="1">
      <x:c r="A103" s="2" t="str">
        <x:v>E3C</x:v>
      </x:c>
      <x:c r="B103" s="2" t="str">
        <x:v>Ensemble</x:v>
      </x:c>
      <x:c r="C103" s="9" t="str">
        <x:v>Noise / modulation and kit / live controls</x:v>
      </x:c>
      <x:c r="D103" s="9" t="str">
        <x:v>Holdout 20</x:v>
      </x:c>
      <x:c r="E103" s="2" t="str">
        <x:v>Holdout</x:v>
      </x:c>
      <x:c r="F103" s="9" t="str">
        <x:v>Qualified mono and drum stems</x:v>
      </x:c>
      <x:c r="G103" s="9" t="str">
        <x:v>Event timing; bus balance; output artifacts</x:v>
      </x:c>
      <x:c r="H103" s="12" t="n">
        <x:v>3</x:v>
      </x:c>
      <x:c r="I103" s="13"/>
      <x:c r="J103" s="14"/>
      <x:c r="K103" s="10" t="str">
        <x:v>NOT RUN</x:v>
      </x:c>
      <x:c r="L103" s="2" t="str">
        <x:f>IF(K103="STALE","STALE",IF(K103="NO VERDICT","NO VERDICT",IF(K103&lt;&gt;"VALID","NOT RUN",IF(OR(NOT(ISNUMBER(I103)),I103&lt;&gt;H103,NOT(ISNUMBER(J103)),J103&lt;0,M103=""),"NO VERDICT",IF(J103&lt;=1,"PASS","FAIL")))))</x:f>
        <x:v>NOT RUN</x:v>
      </x:c>
      <x:c r="M103" s="11"/>
      <x:c r="N103" s="9" t="str">
        <x:v>Reserve an unseen phrase and interaction pattern. Render reference stems with the same event schedule and declared mix gains.</x:v>
      </x:c>
    </x:row>
    <x:row r="104" ht="72" customHeight="1">
      <x:c r="A104" s="2" t="str">
        <x:v>E3D</x:v>
      </x:c>
      <x:c r="B104" s="2" t="str">
        <x:v>Ensemble</x:v>
      </x:c>
      <x:c r="C104" s="9" t="str">
        <x:v>Noise / modulation and kit / new phrase</x:v>
      </x:c>
      <x:c r="D104" s="9" t="str">
        <x:v>Holdout 20</x:v>
      </x:c>
      <x:c r="E104" s="2" t="str">
        <x:v>Holdout</x:v>
      </x:c>
      <x:c r="F104" s="9" t="str">
        <x:v>Qualified mono and drum stems</x:v>
      </x:c>
      <x:c r="G104" s="9" t="str">
        <x:v>Event timing; bus balance; output artifacts</x:v>
      </x:c>
      <x:c r="H104" s="12" t="n">
        <x:v>3</x:v>
      </x:c>
      <x:c r="I104" s="13"/>
      <x:c r="J104" s="14"/>
      <x:c r="K104" s="10" t="str">
        <x:v>NOT RUN</x:v>
      </x:c>
      <x:c r="L104" s="2" t="str">
        <x:f>IF(K104="STALE","STALE",IF(K104="NO VERDICT","NO VERDICT",IF(K104&lt;&gt;"VALID","NOT RUN",IF(OR(NOT(ISNUMBER(I104)),I104&lt;&gt;H104,NOT(ISNUMBER(J104)),J104&lt;0,M104=""),"NO VERDICT",IF(J104&lt;=1,"PASS","FAIL")))))</x:f>
        <x:v>NOT RUN</x:v>
      </x:c>
      <x:c r="M104" s="11"/>
      <x:c r="N104" s="9" t="str">
        <x:v>Reserve an unseen phrase and interaction pattern. Render reference stems with the same event schedule and declared mix gains.</x:v>
      </x:c>
    </x:row>
  </x:sheetData>
  <x:conditionalFormatting sqref="L5:L104">
    <x:cfRule type="containsText" dxfId="0" priority="1" operator="containsText" text="FAIL"/>
    <x:cfRule type="containsText" dxfId="1" priority="2" operator="containsText" text="NO VERDICT"/>
  </x:conditionalFormatting>
  <x:dataValidations count="1">
    <x:dataValidation type="list" sqref="K5:K104">
      <x:formula1>"NOT RUN,VALID,NO VERDICT,STALE"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84d4e74d4a4a4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7" hidden="0" customWidth="1"/>
    <x:col min="3" max="3" width="70" hidden="0" customWidth="1"/>
    <x:col min="4" max="4" width="18" hidden="0" customWidth="1"/>
    <x:col min="5" max="5" width="17" hidden="0" customWidth="1"/>
    <x:col min="6" max="6" width="38" hidden="0" customWidth="1"/>
    <x:col min="7" max="7" width="65" hidden="0" customWidth="1"/>
    <x:col min="8" max="8" width="7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Release requirements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 ht="32" customHeight="1">
      <x:c r="A4" s="8" t="str">
        <x:v>ID</x:v>
      </x:c>
      <x:c r="B4" s="8" t="str">
        <x:v>Requirement</x:v>
      </x:c>
      <x:c r="C4" s="8" t="str">
        <x:v>Evidence required</x:v>
      </x:c>
      <x:c r="D4" s="8" t="str">
        <x:v>Owner role</x:v>
      </x:c>
      <x:c r="E4" s="8" t="str">
        <x:v>Result</x:v>
      </x:c>
      <x:c r="F4" s="8" t="str">
        <x:v>Evidence link</x:v>
      </x:c>
      <x:c r="G4" s="8" t="str">
        <x:v>Current observation</x:v>
      </x:c>
      <x:c r="H4" s="8" t="str">
        <x:v>Source</x:v>
      </x:c>
    </x:row>
    <x:row r="5" ht="54" customHeight="1">
      <x:c r="A5" s="2" t="str">
        <x:v>R01</x:v>
      </x:c>
      <x:c r="B5" s="9" t="str">
        <x:v>Integrated sound set</x:v>
      </x:c>
      <x:c r="C5" s="9" t="str">
        <x:v>Mono voice and all 16 drum sounds in one candidate; exclusivity and reset map tested.</x:v>
      </x:c>
      <x:c r="D5" s="9" t="str">
        <x:v>Integration</x:v>
      </x:c>
      <x:c r="E5" s="10" t="str">
        <x:v>NOT RUN</x:v>
      </x:c>
      <x:c r="F5" s="11"/>
      <x:c r="G5" s="9" t="str">
        <x:v>PR #74 exists; conflicts in audio_measure.py and NUMERIC-CONTRACT.md.</x:v>
      </x:c>
      <x:c r="H5" s="9" t="str">
        <x:v>https://github.com/2AMLogic/gf180-monosynth/pull/74</x:v>
      </x:c>
    </x:row>
    <x:row r="6" ht="54" customHeight="1">
      <x:c r="A6" s="2" t="str">
        <x:v>R02</x:v>
      </x:c>
      <x:c r="B6" s="9" t="str">
        <x:v>Workflow execution</x:v>
      </x:c>
      <x:c r="C6" s="9" t="str">
        <x:v>Workflow syntax valid and affected workflows actually run on candidate.</x:v>
      </x:c>
      <x:c r="D6" s="9" t="str">
        <x:v>Integration</x:v>
      </x:c>
      <x:c r="E6" s="10" t="str">
        <x:v>NOT RUN</x:v>
      </x:c>
      <x:c r="F6" s="11"/>
      <x:c r="G6" s="9" t="str">
        <x:v>PR #73 is open; inspected diff only partially implements its description.</x:v>
      </x:c>
      <x:c r="H6" s="9" t="str">
        <x:v>https://github.com/2AMLogic/gf180-monosynth/pull/73</x:v>
      </x:c>
    </x:row>
    <x:row r="7" ht="54" customHeight="1">
      <x:c r="A7" s="2" t="str">
        <x:v>R03</x:v>
      </x:c>
      <x:c r="B7" s="9" t="str">
        <x:v>Reference qualification</x:v>
      </x:c>
      <x:c r="C7" s="9" t="str">
        <x:v>Pitch, waveform, path and parameter readback verified; accepted references cached.</x:v>
      </x:c>
      <x:c r="D7" s="9" t="str">
        <x:v>References</x:v>
      </x:c>
      <x:c r="E7" s="10" t="str">
        <x:v>NOT RUN</x:v>
      </x:c>
      <x:c r="F7" s="11"/>
      <x:c r="G7" s="9" t="str">
        <x:v>Surge mapping is unchanged in inspected #73 head.</x:v>
      </x:c>
      <x:c r="H7" s="9" t="str">
        <x:v>https://github.com/2AMLogic/gf180-monosynth/issues/61</x:v>
      </x:c>
    </x:row>
    <x:row r="8" ht="54" customHeight="1">
      <x:c r="A8" s="2" t="str">
        <x:v>R04</x:v>
      </x:c>
      <x:c r="B8" s="9" t="str">
        <x:v>Variance and tolerances</x:v>
      </x:c>
      <x:c r="C8" s="9" t="str">
        <x:v>Pilot repeats and sensitive controls qualify each active metric; thresholds frozen.</x:v>
      </x:c>
      <x:c r="D8" s="9" t="str">
        <x:v>References</x:v>
      </x:c>
      <x:c r="E8" s="10" t="str">
        <x:v>NOT RUN</x:v>
      </x:c>
      <x:c r="F8" s="11"/>
      <x:c r="G8" s="9" t="str">
        <x:v>Existing harness provides starting measurements; this benchmark has no imported results.</x:v>
      </x:c>
      <x:c r="H8" s="9" t="str">
        <x:v>https://github.com/2AMLogic/gf180-monosynth/issues/62</x:v>
      </x:c>
    </x:row>
    <x:row r="9" ht="54" customHeight="1">
      <x:c r="A9" s="2" t="str">
        <x:v>R05</x:v>
      </x:c>
      <x:c r="B9" s="9" t="str">
        <x:v>Meaningful negative controls</x:v>
      </x:c>
      <x:c r="C9" s="9" t="str">
        <x:v>Clean passes, mutant executes, intended assertion fails; crashes remain no-verdict.</x:v>
      </x:c>
      <x:c r="D9" s="9" t="str">
        <x:v>Verification</x:v>
      </x:c>
      <x:c r="E9" s="10" t="str">
        <x:v>NOT RUN</x:v>
      </x:c>
      <x:c r="F9" s="11"/>
      <x:c r="G9" s="9" t="str">
        <x:v>Silent-stub control is unchanged in inspected #73 head.</x:v>
      </x:c>
      <x:c r="H9" s="9" t="str">
        <x:v>https://github.com/2AMLogic/gf180-monosynth/issues/52</x:v>
      </x:c>
    </x:row>
    <x:row r="10" ht="54" customHeight="1">
      <x:c r="A10" s="2" t="str">
        <x:v>R06</x:v>
      </x:c>
      <x:c r="B10" s="9" t="str">
        <x:v>Model to I2S agreement</x:v>
      </x:c>
      <x:c r="C10" s="9" t="str">
        <x:v>Current integrated model agrees sample-exactly with short SPI-to-I2S traces and final full verifiers.</x:v>
      </x:c>
      <x:c r="D10" s="9" t="str">
        <x:v>Integration</x:v>
      </x:c>
      <x:c r="E10" s="10" t="str">
        <x:v>NOT RUN</x:v>
      </x:c>
      <x:c r="F10" s="11"/>
      <x:c r="G10" s="9" t="str">
        <x:v>Earlier main has CI evidence; integrated #74 candidate needs its own evidence.</x:v>
      </x:c>
      <x:c r="H10" s="9" t="str">
        <x:v>https://github.com/2AMLogic/gf180-monosynth/pull/74</x:v>
      </x:c>
    </x:row>
    <x:row r="11" ht="54" customHeight="1">
      <x:c r="A11" s="2" t="str">
        <x:v>R07</x:v>
      </x:c>
      <x:c r="B11" s="9" t="str">
        <x:v>Musical host timing</x:v>
      </x:c>
      <x:c r="C11" s="9" t="str">
        <x:v>Host emits kick attack/tom sweeps at defined frames and preserves retrigger/choke timing.</x:v>
      </x:c>
      <x:c r="D11" s="9" t="str">
        <x:v>Host</x:v>
      </x:c>
      <x:c r="E11" s="10" t="str">
        <x:v>NOT RUN</x:v>
      </x:c>
      <x:c r="F11" s="11"/>
      <x:c r="G11" s="9" t="str">
        <x:v>Timed coefficient writes are part of the sound; FPGA host remains a deliverable.</x:v>
      </x:c>
      <x:c r="H11" s="9" t="str">
        <x:v>https://github.com/2AMLogic/gf180-monosynth/blob/50d7aafc322474de0ad18c9c0a1294f36bba0248/fpga/README.md</x:v>
      </x:c>
    </x:row>
    <x:row r="12" ht="54" customHeight="1">
      <x:c r="A12" s="2" t="str">
        <x:v>R08</x:v>
      </x:c>
      <x:c r="B12" s="9" t="str">
        <x:v>Player behavior</x:v>
      </x:c>
      <x:c r="C12" s="9" t="str">
        <x:v>Note priority, glide, retrigger, note-off, panic and reset behave as declared.</x:v>
      </x:c>
      <x:c r="D12" s="9" t="str">
        <x:v>Host</x:v>
      </x:c>
      <x:c r="E12" s="10" t="str">
        <x:v>NOT RUN</x:v>
      </x:c>
      <x:c r="F12" s="11"/>
      <x:c r="G12" s="9" t="str">
        <x:v>Playing behavior remains an open product task.</x:v>
      </x:c>
      <x:c r="H12" s="9" t="str">
        <x:v>https://github.com/2AMLogic/gf180-monosynth/issues/49</x:v>
      </x:c>
    </x:row>
    <x:row r="13" ht="54" customHeight="1">
      <x:c r="A13" s="2" t="str">
        <x:v>R09</x:v>
      </x:c>
      <x:c r="B13" s="9" t="str">
        <x:v>Headroom and stability</x:v>
      </x:c>
      <x:c r="C13" s="9" t="str">
        <x:v>No wraparound, unintended rail hits, runaway states or stuck tails across the stated control range.</x:v>
      </x:c>
      <x:c r="D13" s="9" t="str">
        <x:v>DSP</x:v>
      </x:c>
      <x:c r="E13" s="10" t="str">
        <x:v>NOT RUN</x:v>
      </x:c>
      <x:c r="F13" s="11"/>
      <x:c r="G13" s="9" t="str">
        <x:v>PR #74 reports clipping on an all-eleven-hit render at default drum gain.</x:v>
      </x:c>
      <x:c r="H13" s="9" t="str">
        <x:v>https://github.com/2AMLogic/gf180-monosynth/pull/74</x:v>
      </x:c>
    </x:row>
    <x:row r="14" ht="54" customHeight="1">
      <x:c r="A14" s="2" t="str">
        <x:v>R10</x:v>
      </x:c>
      <x:c r="B14" s="9" t="str">
        <x:v>Current hardware build</x:v>
      </x:c>
      <x:c r="C14" s="9" t="str">
        <x:v>Integrated FPGA build meets the frame deadline; source, ROMs and constraints match evidence.</x:v>
      </x:c>
      <x:c r="D14" s="9" t="str">
        <x:v>Integration</x:v>
      </x:c>
      <x:c r="E14" s="10" t="str">
        <x:v>NOT RUN</x:v>
      </x:c>
      <x:c r="F14" s="11"/>
      <x:c r="G14" s="9" t="str">
        <x:v>Existing physical reports predate the combined candidate.</x:v>
      </x:c>
      <x:c r="H14" s="9" t="str">
        <x:v>https://github.com/2AMLogic/gf180-monosynth/issues/69</x:v>
      </x:c>
    </x:row>
    <x:row r="15" ht="54" customHeight="1">
      <x:c r="A15" s="2" t="str">
        <x:v>R11</x:v>
      </x:c>
      <x:c r="B15" s="9" t="str">
        <x:v>Actual output path</x:v>
      </x:c>
      <x:c r="C15" s="9" t="str">
        <x:v>Boot, control input, I2S and DAC capture work; capture checks separate clock/gain from sound errors.</x:v>
      </x:c>
      <x:c r="D15" s="9" t="str">
        <x:v>Host</x:v>
      </x:c>
      <x:c r="E15" s="10" t="str">
        <x:v>NOT RUN</x:v>
      </x:c>
      <x:c r="F15" s="11"/>
      <x:c r="G15" s="9" t="str">
        <x:v>A software WAV does not establish board or DAC output.</x:v>
      </x:c>
      <x:c r="H15" s="9" t="str">
        <x:v>https://github.com/2AMLogic/gf180-monosynth/issues/1</x:v>
      </x:c>
    </x:row>
    <x:row r="16" ht="54" customHeight="1">
      <x:c r="A16" s="2" t="str">
        <x:v>R12</x:v>
      </x:c>
      <x:c r="B16" s="9" t="str">
        <x:v>Player audition</x:v>
      </x:c>
      <x:c r="C16" s="9" t="str">
        <x:v>Small blind, level-matched audition plus live play; record appeal separately from similarity.</x:v>
      </x:c>
      <x:c r="D16" s="9" t="str">
        <x:v>Product</x:v>
      </x:c>
      <x:c r="E16" s="10" t="str">
        <x:v>NOT RUN</x:v>
      </x:c>
      <x:c r="F16" s="11"/>
      <x:c r="G16" s="9" t="str">
        <x:v>Friends review the release output after automated qualification.</x:v>
      </x:c>
      <x:c r="H16" s="9" t="str">
        <x:v>https://github.com/2AMLogic/gf180-monosynth/issues/1</x:v>
      </x:c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</x:sheetData>
  <x:conditionalFormatting sqref="E5:E16">
    <x:cfRule type="containsText" dxfId="2" priority="1" operator="containsText" text="FAIL"/>
  </x:conditionalFormatting>
  <x:dataValidations count="1">
    <x:dataValidation type="list" sqref="E5:E16">
      <x:formula1>"NOT RUN,PASS,FAIL,NO VERDICT,STALE"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0204842bf94a8e"/>
  </x:tableParts>
</x:worksheet>
</file>